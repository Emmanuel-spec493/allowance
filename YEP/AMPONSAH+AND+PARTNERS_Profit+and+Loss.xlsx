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<sst xmlns="http://schemas.openxmlformats.org/spreadsheetml/2006/main" count="18" uniqueCount="18">
  <si>
    <t>Total</t>
  </si>
  <si>
    <t>Income</t>
  </si>
  <si>
    <t xml:space="preserve">   Sales of Product Income</t>
  </si>
  <si>
    <t xml:space="preserve">   Services</t>
  </si>
  <si>
    <t>Total Income</t>
  </si>
  <si>
    <t>Cost of Sales</t>
  </si>
  <si>
    <t xml:space="preserve">   Cost of sales</t>
  </si>
  <si>
    <t>Total Cost of Sales</t>
  </si>
  <si>
    <t>Gross Profit</t>
  </si>
  <si>
    <t>Expenses</t>
  </si>
  <si>
    <t xml:space="preserve">   Office expenses</t>
  </si>
  <si>
    <t xml:space="preserve">   Utilities</t>
  </si>
  <si>
    <t>Total Expenses</t>
  </si>
  <si>
    <t>Net Earnings</t>
  </si>
  <si>
    <t>Sunday, Feb 23, 2025 06:27:21 PM GMT0 - Accrual Basis</t>
  </si>
  <si>
    <t>AMPONSAH AND PARTNERS</t>
  </si>
  <si>
    <t>Profit and Loss</t>
  </si>
  <si>
    <t>January - December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</si>
</sst>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GHS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23.203125" customWidth="true"/>
    <col min="2" max="2" width="18.90625" customWidth="true"/>
  </cols>
  <sheetData>
    <row r="1">
      <c r="A1" s="9" t="s">
        <v>15</v>
      </c>
      <c r="B1"/>
    </row>
    <row r="2">
      <c r="A2" s="9" t="s">
        <v>16</v>
      </c>
      <c r="B2"/>
    </row>
    <row r="3">
      <c r="A3" s="10" t="s">
        <v>17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130000.00</f>
        <v>0.0</v>
      </c>
    </row>
    <row r="8">
      <c r="A8" t="s" s="3">
        <v>3</v>
      </c>
      <c r="B8" t="n" s="5">
        <f>385000.00</f>
        <v>0.0</v>
      </c>
    </row>
    <row r="9">
      <c r="A9" t="s" s="3">
        <v>4</v>
      </c>
      <c r="B9" t="n" s="6">
        <f>(B7)+(B8)</f>
        <v>0.0</v>
      </c>
    </row>
    <row r="10">
      <c r="A10" t="s" s="3">
        <v>5</v>
      </c>
      <c r="B10" s="4"/>
    </row>
    <row r="11">
      <c r="A11" t="s" s="3">
        <v>6</v>
      </c>
      <c r="B11" t="n" s="5">
        <f>0.00</f>
        <v>0.0</v>
      </c>
    </row>
    <row r="12">
      <c r="A12" t="s" s="3">
        <v>7</v>
      </c>
      <c r="B12" t="n" s="6">
        <f>B11</f>
        <v>0.0</v>
      </c>
    </row>
    <row r="13">
      <c r="A13" t="s" s="3">
        <v>8</v>
      </c>
      <c r="B13" t="n" s="6">
        <f>(B9)-(B12)</f>
        <v>0.0</v>
      </c>
    </row>
    <row r="14">
      <c r="A14" t="s" s="3">
        <v>9</v>
      </c>
      <c r="B14" s="4"/>
    </row>
    <row r="15">
      <c r="A15" t="s" s="3">
        <v>10</v>
      </c>
      <c r="B15" t="n" s="5">
        <f>50000.00</f>
        <v>0.0</v>
      </c>
    </row>
    <row r="16">
      <c r="A16" t="s" s="3">
        <v>11</v>
      </c>
      <c r="B16" t="n" s="5">
        <f>10000.00</f>
        <v>0.0</v>
      </c>
    </row>
    <row r="17">
      <c r="A17" t="s" s="3">
        <v>12</v>
      </c>
      <c r="B17" t="n" s="6">
        <f>(B15)+(B16)</f>
        <v>0.0</v>
      </c>
    </row>
    <row r="18">
      <c r="A18" t="s" s="3">
        <v>13</v>
      </c>
      <c r="B18" t="n" s="7">
        <f>((((B9)+(0))-(B12))-(B17))-(0)</f>
        <v>0.0</v>
      </c>
    </row>
    <row r="19">
      <c r="A19" s="3"/>
      <c r="B19" s="4"/>
    </row>
    <row r="22">
      <c r="A22" s="8" t="s">
        <v>14</v>
      </c>
      <c r="B22"/>
    </row>
  </sheetData>
  <mergeCells count="4">
    <mergeCell ref="A22:B22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2025-02-23T18:27:21Z</dcterms:created>
  <dc:creator>Apache POI</dc:creator>
</cp:coreProperties>
</file>