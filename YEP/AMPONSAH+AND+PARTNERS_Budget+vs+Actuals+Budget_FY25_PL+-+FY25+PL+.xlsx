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Budget vs. Actu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<sst xmlns="http://schemas.openxmlformats.org/spreadsheetml/2006/main" count="90" uniqueCount="42">
  <si>
    <t>AMPONSAH AND PARTNERS</t>
  </si>
  <si>
    <t xml:space="preserve">Budget vs. Actuals: Budget_FY25_P&amp;L - FY25 P&amp;L 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</si>
  <si>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</si>
  <si>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</si>
  <si>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</si>
  <si>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</si>
  <si>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</si>
  <si>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</si>
  <si>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</si>
  <si>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</si>
  <si>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</si>
  <si>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</si>
  <si>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</si>
  <si>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</si>
  <si>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</si>
  <si>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</si>
  <si>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Actual</t>
  </si>
  <si>
    <t>Budget</t>
  </si>
  <si>
    <t>over Budget</t>
  </si>
  <si>
    <t>% of Budget</t>
  </si>
  <si>
    <t>Income</t>
  </si>
  <si>
    <t xml:space="preserve">   Billable Expense Income</t>
  </si>
  <si>
    <t xml:space="preserve">   Revenue - General</t>
  </si>
  <si>
    <t xml:space="preserve">   Sales - retail</t>
  </si>
  <si>
    <t xml:space="preserve">   Sales - wholesale</t>
  </si>
  <si>
    <t xml:space="preserve">   Sales of Product Income</t>
  </si>
  <si>
    <t xml:space="preserve">   Services</t>
  </si>
  <si>
    <t xml:space="preserve">   Unapplied Cash Payment Income</t>
  </si>
  <si>
    <t xml:space="preserve">   Uncategorised Income</t>
  </si>
  <si>
    <t>Total Income</t>
  </si>
  <si>
    <t>Cost of Sales</t>
  </si>
  <si>
    <t xml:space="preserve">   Cost of sales</t>
  </si>
  <si>
    <t>Total Cost of Sales</t>
  </si>
  <si>
    <t>Gross Profit</t>
  </si>
  <si>
    <t>Expenses</t>
  </si>
  <si>
    <t xml:space="preserve">   Office expenses</t>
  </si>
  <si>
    <t xml:space="preserve">   Rent or lease payments</t>
  </si>
  <si>
    <t xml:space="preserve">   Utilities</t>
  </si>
  <si>
    <t>Total Expenses</t>
  </si>
  <si>
    <t>Net Operating Income</t>
  </si>
  <si>
    <t>Net Income</t>
  </si>
  <si>
    <t>Thursday, Mar 06, 2025 06:23:49 PM GMT0 - Accrual Basis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</si>
</sst>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_€"/>
    <numFmt numFmtId="179" formatCode="&quot;GHS&quot;* #,##0.00\ _€"/>
  </numFmts>
  <fonts count="26">
    <font>
      <sz val="11"/>
      <color indexed="8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color indexed="8"/>
      <name val="Arial"/>
      <charset val="134"/>
    </font>
    <font>
      <b/>
      <sz val="9"/>
      <color indexed="8"/>
      <name val="Arial"/>
      <charset val="134"/>
    </font>
    <font>
      <b/>
      <sz val="8"/>
      <color indexed="8"/>
      <name val="Arial"/>
      <charset val="134"/>
    </font>
    <font>
      <sz val="8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178" fontId="5" fillId="0" borderId="0" xfId="0" applyNumberFormat="1" applyFont="1" applyAlignment="1">
      <alignment wrapText="1"/>
    </xf>
    <xf numFmtId="178" fontId="5" fillId="0" borderId="0" xfId="0" applyNumberFormat="1" applyFont="1" applyAlignment="1">
      <alignment horizontal="right" wrapText="1"/>
    </xf>
    <xf numFmtId="10" fontId="5" fillId="0" borderId="0" xfId="0" applyNumberFormat="1" applyFont="1" applyAlignment="1">
      <alignment horizontal="right" wrapText="1"/>
    </xf>
    <xf numFmtId="179" fontId="4" fillId="0" borderId="2" xfId="0" applyNumberFormat="1" applyFont="1" applyBorder="1" applyAlignment="1">
      <alignment horizontal="right" wrapText="1"/>
    </xf>
    <xf numFmtId="10" fontId="4" fillId="0" borderId="2" xfId="0" applyNumberFormat="1" applyFont="1" applyBorder="1" applyAlignment="1">
      <alignment horizontal="right" wrapText="1"/>
    </xf>
    <xf numFmtId="179" fontId="4" fillId="0" borderId="2" xfId="0" applyNumberFormat="1" applyFont="1" applyBorder="1" applyAlignment="1">
      <alignment horizontal="right" wrapText="1"/>
    </xf>
    <xf numFmtId="10" fontId="4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1"/>
  <sheetViews>
    <sheetView tabSelected="1" workbookViewId="0">
      <selection activeCell="A1" sqref="A1:BA1"/>
    </sheetView>
  </sheetViews>
  <sheetFormatPr defaultColWidth="9" defaultRowHeight="14.4"/>
  <cols>
    <col min="1" max="1" width="28.3611111111111" customWidth="1"/>
    <col min="2" max="2" width="12.0277777777778" customWidth="1"/>
    <col min="3" max="3" width="10.3148148148148" customWidth="1"/>
    <col min="4" max="4" width="12.0277777777778" customWidth="1"/>
    <col min="5" max="5" width="9.4537037037037" customWidth="1"/>
    <col min="6" max="6" width="12.0277777777778" customWidth="1"/>
    <col min="7" max="7" width="10.3148148148148" customWidth="1"/>
    <col min="8" max="8" width="12.0277777777778" customWidth="1"/>
    <col min="9" max="9" width="15.4722222222222" customWidth="1"/>
    <col min="10" max="10" width="12.0277777777778" customWidth="1"/>
    <col min="11" max="11" width="10.3148148148148" customWidth="1"/>
    <col min="12" max="12" width="12.0277777777778" customWidth="1"/>
    <col min="13" max="13" width="9.4537037037037" customWidth="1"/>
    <col min="14" max="14" width="12.0277777777778" customWidth="1"/>
    <col min="15" max="15" width="10.3148148148148" customWidth="1"/>
    <col min="16" max="16" width="12.0277777777778" customWidth="1"/>
    <col min="17" max="17" width="9.4537037037037" customWidth="1"/>
    <col min="18" max="18" width="12.0277777777778" customWidth="1"/>
    <col min="19" max="19" width="10.3148148148148" customWidth="1"/>
    <col min="20" max="20" width="12.0277777777778" customWidth="1"/>
    <col min="21" max="21" width="9.4537037037037" customWidth="1"/>
    <col min="22" max="22" width="12.0277777777778" customWidth="1"/>
    <col min="23" max="23" width="10.3148148148148" customWidth="1"/>
    <col min="24" max="24" width="12.0277777777778" customWidth="1"/>
    <col min="25" max="25" width="9.4537037037037" customWidth="1"/>
    <col min="26" max="26" width="12.0277777777778" customWidth="1"/>
    <col min="27" max="27" width="10.3148148148148" customWidth="1"/>
    <col min="28" max="28" width="12.0277777777778" customWidth="1"/>
    <col min="29" max="29" width="9.4537037037037" customWidth="1"/>
    <col min="30" max="30" width="12.0277777777778" customWidth="1"/>
    <col min="31" max="31" width="10.3148148148148" customWidth="1"/>
    <col min="32" max="32" width="12.0277777777778" customWidth="1"/>
    <col min="33" max="33" width="9.4537037037037" customWidth="1"/>
    <col min="34" max="34" width="12.0277777777778" customWidth="1"/>
    <col min="35" max="35" width="10.3148148148148" customWidth="1"/>
    <col min="36" max="36" width="12.0277777777778" customWidth="1"/>
    <col min="37" max="37" width="9.4537037037037" customWidth="1"/>
    <col min="38" max="38" width="12.0277777777778" customWidth="1"/>
    <col min="39" max="39" width="10.3148148148148" customWidth="1"/>
    <col min="40" max="40" width="12.0277777777778" customWidth="1"/>
    <col min="41" max="41" width="9.4537037037037" customWidth="1"/>
    <col min="42" max="42" width="12.0277777777778" customWidth="1"/>
    <col min="43" max="43" width="10.3148148148148" customWidth="1"/>
    <col min="44" max="44" width="12.0277777777778" customWidth="1"/>
    <col min="45" max="45" width="9.4537037037037" customWidth="1"/>
    <col min="46" max="46" width="12.0277777777778" customWidth="1"/>
    <col min="47" max="47" width="10.3148148148148" customWidth="1"/>
    <col min="48" max="48" width="12.0277777777778" customWidth="1"/>
    <col min="49" max="49" width="9.4537037037037" customWidth="1"/>
    <col min="50" max="50" width="12.0277777777778" customWidth="1"/>
    <col min="51" max="51" width="11.1759259259259" customWidth="1"/>
    <col min="52" max="52" width="12.8888888888889" customWidth="1"/>
    <col min="53" max="53" width="14.6111111111111" customWidth="1"/>
  </cols>
  <sheetData>
    <row r="1" ht="17.4" spans="1:1">
      <c r="A1" s="1" t="s">
        <v>0</v>
      </c>
    </row>
    <row r="2" ht="17.4" spans="1:1">
      <c r="A2" s="1" t="s">
        <v>1</v>
      </c>
    </row>
    <row r="3" spans="1:1">
      <c r="A3" s="2" t="s">
        <v>2</v>
      </c>
    </row>
    <row r="5" spans="1:53">
      <c r="A5" s="3"/>
      <c r="B5" s="4" t="s">
        <v>3</v>
      </c>
      <c r="C5" s="3"/>
      <c r="D5" s="3"/>
      <c r="E5" s="3"/>
      <c r="F5" s="4" t="s">
        <v>4</v>
      </c>
      <c r="G5" s="3"/>
      <c r="H5" s="3"/>
      <c r="I5" s="3"/>
      <c r="J5" s="4" t="s">
        <v>5</v>
      </c>
      <c r="K5" s="3"/>
      <c r="L5" s="3"/>
      <c r="M5" s="3"/>
      <c r="N5" s="4" t="s">
        <v>6</v>
      </c>
      <c r="O5" s="3"/>
      <c r="P5" s="3"/>
      <c r="Q5" s="3"/>
      <c r="R5" s="4" t="s">
        <v>7</v>
      </c>
      <c r="S5" s="3"/>
      <c r="T5" s="3"/>
      <c r="U5" s="3"/>
      <c r="V5" s="4" t="s">
        <v>8</v>
      </c>
      <c r="W5" s="3"/>
      <c r="X5" s="3"/>
      <c r="Y5" s="3"/>
      <c r="Z5" s="4" t="s">
        <v>9</v>
      </c>
      <c r="AA5" s="3"/>
      <c r="AB5" s="3"/>
      <c r="AC5" s="3"/>
      <c r="AD5" s="4" t="s">
        <v>10</v>
      </c>
      <c r="AE5" s="3"/>
      <c r="AF5" s="3"/>
      <c r="AG5" s="3"/>
      <c r="AH5" s="4" t="s">
        <v>11</v>
      </c>
      <c r="AI5" s="3"/>
      <c r="AJ5" s="3"/>
      <c r="AK5" s="3"/>
      <c r="AL5" s="4" t="s">
        <v>12</v>
      </c>
      <c r="AM5" s="3"/>
      <c r="AN5" s="3"/>
      <c r="AO5" s="3"/>
      <c r="AP5" s="4" t="s">
        <v>13</v>
      </c>
      <c r="AQ5" s="3"/>
      <c r="AR5" s="3"/>
      <c r="AS5" s="3"/>
      <c r="AT5" s="4" t="s">
        <v>14</v>
      </c>
      <c r="AU5" s="3"/>
      <c r="AV5" s="3"/>
      <c r="AW5" s="3"/>
      <c r="AX5" s="4" t="s">
        <v>15</v>
      </c>
      <c r="AY5" s="3"/>
      <c r="AZ5" s="3"/>
      <c r="BA5" s="3"/>
    </row>
    <row r="6" ht="24" spans="1:53">
      <c r="A6" s="3"/>
      <c r="B6" s="4" t="s">
        <v>16</v>
      </c>
      <c r="C6" s="4" t="s">
        <v>17</v>
      </c>
      <c r="D6" s="4" t="s">
        <v>18</v>
      </c>
      <c r="E6" s="4" t="s">
        <v>19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16</v>
      </c>
      <c r="S6" s="4" t="s">
        <v>17</v>
      </c>
      <c r="T6" s="4" t="s">
        <v>18</v>
      </c>
      <c r="U6" s="4" t="s">
        <v>19</v>
      </c>
      <c r="V6" s="4" t="s">
        <v>16</v>
      </c>
      <c r="W6" s="4" t="s">
        <v>17</v>
      </c>
      <c r="X6" s="4" t="s">
        <v>18</v>
      </c>
      <c r="Y6" s="4" t="s">
        <v>19</v>
      </c>
      <c r="Z6" s="4" t="s">
        <v>16</v>
      </c>
      <c r="AA6" s="4" t="s">
        <v>17</v>
      </c>
      <c r="AB6" s="4" t="s">
        <v>18</v>
      </c>
      <c r="AC6" s="4" t="s">
        <v>19</v>
      </c>
      <c r="AD6" s="4" t="s">
        <v>16</v>
      </c>
      <c r="AE6" s="4" t="s">
        <v>17</v>
      </c>
      <c r="AF6" s="4" t="s">
        <v>18</v>
      </c>
      <c r="AG6" s="4" t="s">
        <v>19</v>
      </c>
      <c r="AH6" s="4" t="s">
        <v>16</v>
      </c>
      <c r="AI6" s="4" t="s">
        <v>17</v>
      </c>
      <c r="AJ6" s="4" t="s">
        <v>18</v>
      </c>
      <c r="AK6" s="4" t="s">
        <v>19</v>
      </c>
      <c r="AL6" s="4" t="s">
        <v>16</v>
      </c>
      <c r="AM6" s="4" t="s">
        <v>17</v>
      </c>
      <c r="AN6" s="4" t="s">
        <v>18</v>
      </c>
      <c r="AO6" s="4" t="s">
        <v>19</v>
      </c>
      <c r="AP6" s="4" t="s">
        <v>16</v>
      </c>
      <c r="AQ6" s="4" t="s">
        <v>17</v>
      </c>
      <c r="AR6" s="4" t="s">
        <v>18</v>
      </c>
      <c r="AS6" s="4" t="s">
        <v>19</v>
      </c>
      <c r="AT6" s="4" t="s">
        <v>16</v>
      </c>
      <c r="AU6" s="4" t="s">
        <v>17</v>
      </c>
      <c r="AV6" s="4" t="s">
        <v>18</v>
      </c>
      <c r="AW6" s="4" t="s">
        <v>19</v>
      </c>
      <c r="AX6" s="4" t="s">
        <v>16</v>
      </c>
      <c r="AY6" s="4" t="s">
        <v>17</v>
      </c>
      <c r="AZ6" s="4" t="s">
        <v>18</v>
      </c>
      <c r="BA6" s="4" t="s">
        <v>19</v>
      </c>
    </row>
    <row r="7" spans="1:53">
      <c r="A7" s="5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>
      <c r="A8" s="5" t="s">
        <v>21</v>
      </c>
      <c r="B8" s="6"/>
      <c r="C8" s="7">
        <f>1666.67</f>
        <v>1666.67</v>
      </c>
      <c r="D8" s="7">
        <f t="shared" ref="D8:D16" si="0">(B8)-(C8)</f>
        <v>-1666.67</v>
      </c>
      <c r="E8" s="8">
        <f t="shared" ref="E8:E16" si="1">IF(C8=0,"",(B8)/(C8))</f>
        <v>0</v>
      </c>
      <c r="F8" s="6"/>
      <c r="G8" s="7">
        <f>1666.67</f>
        <v>1666.67</v>
      </c>
      <c r="H8" s="7">
        <f t="shared" ref="H8:H16" si="2">(F8)-(G8)</f>
        <v>-1666.67</v>
      </c>
      <c r="I8" s="8">
        <f t="shared" ref="I8:I16" si="3">IF(G8=0,"",(F8)/(G8))</f>
        <v>0</v>
      </c>
      <c r="J8" s="6"/>
      <c r="K8" s="7">
        <f>1666.67</f>
        <v>1666.67</v>
      </c>
      <c r="L8" s="7">
        <f t="shared" ref="L8:L16" si="4">(J8)-(K8)</f>
        <v>-1666.67</v>
      </c>
      <c r="M8" s="8">
        <f t="shared" ref="M8:M16" si="5">IF(K8=0,"",(J8)/(K8))</f>
        <v>0</v>
      </c>
      <c r="N8" s="6"/>
      <c r="O8" s="7">
        <f>1666.67</f>
        <v>1666.67</v>
      </c>
      <c r="P8" s="7">
        <f t="shared" ref="P8:P16" si="6">(N8)-(O8)</f>
        <v>-1666.67</v>
      </c>
      <c r="Q8" s="8">
        <f t="shared" ref="Q8:Q16" si="7">IF(O8=0,"",(N8)/(O8))</f>
        <v>0</v>
      </c>
      <c r="R8" s="6"/>
      <c r="S8" s="7">
        <f>1666.67</f>
        <v>1666.67</v>
      </c>
      <c r="T8" s="7">
        <f t="shared" ref="T8:T16" si="8">(R8)-(S8)</f>
        <v>-1666.67</v>
      </c>
      <c r="U8" s="8">
        <f t="shared" ref="U8:U16" si="9">IF(S8=0,"",(R8)/(S8))</f>
        <v>0</v>
      </c>
      <c r="V8" s="6"/>
      <c r="W8" s="7">
        <f>1666.67</f>
        <v>1666.67</v>
      </c>
      <c r="X8" s="7">
        <f t="shared" ref="X8:X16" si="10">(V8)-(W8)</f>
        <v>-1666.67</v>
      </c>
      <c r="Y8" s="8">
        <f t="shared" ref="Y8:Y16" si="11">IF(W8=0,"",(V8)/(W8))</f>
        <v>0</v>
      </c>
      <c r="Z8" s="6"/>
      <c r="AA8" s="7">
        <f>1666.67</f>
        <v>1666.67</v>
      </c>
      <c r="AB8" s="7">
        <f t="shared" ref="AB8:AB16" si="12">(Z8)-(AA8)</f>
        <v>-1666.67</v>
      </c>
      <c r="AC8" s="8">
        <f t="shared" ref="AC8:AC16" si="13">IF(AA8=0,"",(Z8)/(AA8))</f>
        <v>0</v>
      </c>
      <c r="AD8" s="6"/>
      <c r="AE8" s="7">
        <f>1666.67</f>
        <v>1666.67</v>
      </c>
      <c r="AF8" s="7">
        <f t="shared" ref="AF8:AF16" si="14">(AD8)-(AE8)</f>
        <v>-1666.67</v>
      </c>
      <c r="AG8" s="8">
        <f t="shared" ref="AG8:AG16" si="15">IF(AE8=0,"",(AD8)/(AE8))</f>
        <v>0</v>
      </c>
      <c r="AH8" s="6"/>
      <c r="AI8" s="7">
        <f>1666.67</f>
        <v>1666.67</v>
      </c>
      <c r="AJ8" s="7">
        <f t="shared" ref="AJ8:AJ16" si="16">(AH8)-(AI8)</f>
        <v>-1666.67</v>
      </c>
      <c r="AK8" s="8">
        <f t="shared" ref="AK8:AK16" si="17">IF(AI8=0,"",(AH8)/(AI8))</f>
        <v>0</v>
      </c>
      <c r="AL8" s="6"/>
      <c r="AM8" s="7">
        <f>1666.67</f>
        <v>1666.67</v>
      </c>
      <c r="AN8" s="7">
        <f t="shared" ref="AN8:AN16" si="18">(AL8)-(AM8)</f>
        <v>-1666.67</v>
      </c>
      <c r="AO8" s="8">
        <f t="shared" ref="AO8:AO16" si="19">IF(AM8=0,"",(AL8)/(AM8))</f>
        <v>0</v>
      </c>
      <c r="AP8" s="6"/>
      <c r="AQ8" s="7">
        <f>1666.67</f>
        <v>1666.67</v>
      </c>
      <c r="AR8" s="7">
        <f t="shared" ref="AR8:AR16" si="20">(AP8)-(AQ8)</f>
        <v>-1666.67</v>
      </c>
      <c r="AS8" s="8">
        <f t="shared" ref="AS8:AS16" si="21">IF(AQ8=0,"",(AP8)/(AQ8))</f>
        <v>0</v>
      </c>
      <c r="AT8" s="6"/>
      <c r="AU8" s="7">
        <f>1666.63</f>
        <v>1666.63</v>
      </c>
      <c r="AV8" s="7">
        <f t="shared" ref="AV8:AV16" si="22">(AT8)-(AU8)</f>
        <v>-1666.63</v>
      </c>
      <c r="AW8" s="8">
        <f t="shared" ref="AW8:AW16" si="23">IF(AU8=0,"",(AT8)/(AU8))</f>
        <v>0</v>
      </c>
      <c r="AX8" s="7">
        <f t="shared" ref="AX8:AX16" si="24">(((((((((((B8)+(F8))+(J8))+(N8))+(R8))+(V8))+(Z8))+(AD8))+(AH8))+(AL8))+(AP8))+(AT8)</f>
        <v>0</v>
      </c>
      <c r="AY8" s="7">
        <f t="shared" ref="AY8:AY16" si="25">(((((((((((C8)+(G8))+(K8))+(O8))+(S8))+(W8))+(AA8))+(AE8))+(AI8))+(AM8))+(AQ8))+(AU8)</f>
        <v>20000</v>
      </c>
      <c r="AZ8" s="7">
        <f t="shared" ref="AZ8:AZ16" si="26">(AX8)-(AY8)</f>
        <v>-20000</v>
      </c>
      <c r="BA8" s="8">
        <f t="shared" ref="BA8:BA16" si="27">IF(AY8=0,"",(AX8)/(AY8))</f>
        <v>0</v>
      </c>
    </row>
    <row r="9" spans="1:53">
      <c r="A9" s="5" t="s">
        <v>22</v>
      </c>
      <c r="B9" s="6"/>
      <c r="C9" s="7">
        <f>5000</f>
        <v>5000</v>
      </c>
      <c r="D9" s="7">
        <f t="shared" si="0"/>
        <v>-5000</v>
      </c>
      <c r="E9" s="8">
        <f t="shared" si="1"/>
        <v>0</v>
      </c>
      <c r="F9" s="6"/>
      <c r="G9" s="7">
        <f>5000</f>
        <v>5000</v>
      </c>
      <c r="H9" s="7">
        <f t="shared" si="2"/>
        <v>-5000</v>
      </c>
      <c r="I9" s="8">
        <f t="shared" si="3"/>
        <v>0</v>
      </c>
      <c r="J9" s="6"/>
      <c r="K9" s="7">
        <f>5000</f>
        <v>5000</v>
      </c>
      <c r="L9" s="7">
        <f t="shared" si="4"/>
        <v>-5000</v>
      </c>
      <c r="M9" s="8">
        <f t="shared" si="5"/>
        <v>0</v>
      </c>
      <c r="N9" s="6"/>
      <c r="O9" s="7">
        <f>5000</f>
        <v>5000</v>
      </c>
      <c r="P9" s="7">
        <f t="shared" si="6"/>
        <v>-5000</v>
      </c>
      <c r="Q9" s="8">
        <f t="shared" si="7"/>
        <v>0</v>
      </c>
      <c r="R9" s="6"/>
      <c r="S9" s="7">
        <f>5000</f>
        <v>5000</v>
      </c>
      <c r="T9" s="7">
        <f t="shared" si="8"/>
        <v>-5000</v>
      </c>
      <c r="U9" s="8">
        <f t="shared" si="9"/>
        <v>0</v>
      </c>
      <c r="V9" s="6"/>
      <c r="W9" s="7">
        <f>5000</f>
        <v>5000</v>
      </c>
      <c r="X9" s="7">
        <f t="shared" si="10"/>
        <v>-5000</v>
      </c>
      <c r="Y9" s="8">
        <f t="shared" si="11"/>
        <v>0</v>
      </c>
      <c r="Z9" s="6"/>
      <c r="AA9" s="7">
        <f>5000</f>
        <v>5000</v>
      </c>
      <c r="AB9" s="7">
        <f t="shared" si="12"/>
        <v>-5000</v>
      </c>
      <c r="AC9" s="8">
        <f t="shared" si="13"/>
        <v>0</v>
      </c>
      <c r="AD9" s="6"/>
      <c r="AE9" s="7">
        <f>5000</f>
        <v>5000</v>
      </c>
      <c r="AF9" s="7">
        <f t="shared" si="14"/>
        <v>-5000</v>
      </c>
      <c r="AG9" s="8">
        <f t="shared" si="15"/>
        <v>0</v>
      </c>
      <c r="AH9" s="6"/>
      <c r="AI9" s="7">
        <f>5000</f>
        <v>5000</v>
      </c>
      <c r="AJ9" s="7">
        <f t="shared" si="16"/>
        <v>-5000</v>
      </c>
      <c r="AK9" s="8">
        <f t="shared" si="17"/>
        <v>0</v>
      </c>
      <c r="AL9" s="6"/>
      <c r="AM9" s="7">
        <f>5000</f>
        <v>5000</v>
      </c>
      <c r="AN9" s="7">
        <f t="shared" si="18"/>
        <v>-5000</v>
      </c>
      <c r="AO9" s="8">
        <f t="shared" si="19"/>
        <v>0</v>
      </c>
      <c r="AP9" s="6"/>
      <c r="AQ9" s="7">
        <f>5000</f>
        <v>5000</v>
      </c>
      <c r="AR9" s="7">
        <f t="shared" si="20"/>
        <v>-5000</v>
      </c>
      <c r="AS9" s="8">
        <f t="shared" si="21"/>
        <v>0</v>
      </c>
      <c r="AT9" s="6"/>
      <c r="AU9" s="7">
        <f>5000</f>
        <v>5000</v>
      </c>
      <c r="AV9" s="7">
        <f t="shared" si="22"/>
        <v>-5000</v>
      </c>
      <c r="AW9" s="8">
        <f t="shared" si="23"/>
        <v>0</v>
      </c>
      <c r="AX9" s="7">
        <f t="shared" si="24"/>
        <v>0</v>
      </c>
      <c r="AY9" s="7">
        <f t="shared" si="25"/>
        <v>60000</v>
      </c>
      <c r="AZ9" s="7">
        <f t="shared" si="26"/>
        <v>-60000</v>
      </c>
      <c r="BA9" s="8">
        <f t="shared" si="27"/>
        <v>0</v>
      </c>
    </row>
    <row r="10" spans="1:53">
      <c r="A10" s="5" t="s">
        <v>23</v>
      </c>
      <c r="B10" s="6"/>
      <c r="C10" s="7">
        <f>5</f>
        <v>5</v>
      </c>
      <c r="D10" s="7">
        <f t="shared" si="0"/>
        <v>-5</v>
      </c>
      <c r="E10" s="8">
        <f t="shared" si="1"/>
        <v>0</v>
      </c>
      <c r="F10" s="6"/>
      <c r="G10" s="7">
        <f>5</f>
        <v>5</v>
      </c>
      <c r="H10" s="7">
        <f t="shared" si="2"/>
        <v>-5</v>
      </c>
      <c r="I10" s="8">
        <f t="shared" si="3"/>
        <v>0</v>
      </c>
      <c r="J10" s="6"/>
      <c r="K10" s="7">
        <f>5</f>
        <v>5</v>
      </c>
      <c r="L10" s="7">
        <f t="shared" si="4"/>
        <v>-5</v>
      </c>
      <c r="M10" s="8">
        <f t="shared" si="5"/>
        <v>0</v>
      </c>
      <c r="N10" s="6"/>
      <c r="O10" s="7">
        <f>5</f>
        <v>5</v>
      </c>
      <c r="P10" s="7">
        <f t="shared" si="6"/>
        <v>-5</v>
      </c>
      <c r="Q10" s="8">
        <f t="shared" si="7"/>
        <v>0</v>
      </c>
      <c r="R10" s="6"/>
      <c r="S10" s="7">
        <f>5</f>
        <v>5</v>
      </c>
      <c r="T10" s="7">
        <f t="shared" si="8"/>
        <v>-5</v>
      </c>
      <c r="U10" s="8">
        <f t="shared" si="9"/>
        <v>0</v>
      </c>
      <c r="V10" s="6"/>
      <c r="W10" s="7">
        <f>5</f>
        <v>5</v>
      </c>
      <c r="X10" s="7">
        <f t="shared" si="10"/>
        <v>-5</v>
      </c>
      <c r="Y10" s="8">
        <f t="shared" si="11"/>
        <v>0</v>
      </c>
      <c r="Z10" s="6"/>
      <c r="AA10" s="7">
        <f>5</f>
        <v>5</v>
      </c>
      <c r="AB10" s="7">
        <f t="shared" si="12"/>
        <v>-5</v>
      </c>
      <c r="AC10" s="8">
        <f t="shared" si="13"/>
        <v>0</v>
      </c>
      <c r="AD10" s="6"/>
      <c r="AE10" s="7">
        <f>5</f>
        <v>5</v>
      </c>
      <c r="AF10" s="7">
        <f t="shared" si="14"/>
        <v>-5</v>
      </c>
      <c r="AG10" s="8">
        <f t="shared" si="15"/>
        <v>0</v>
      </c>
      <c r="AH10" s="6"/>
      <c r="AI10" s="7">
        <f>5</f>
        <v>5</v>
      </c>
      <c r="AJ10" s="7">
        <f t="shared" si="16"/>
        <v>-5</v>
      </c>
      <c r="AK10" s="8">
        <f t="shared" si="17"/>
        <v>0</v>
      </c>
      <c r="AL10" s="6"/>
      <c r="AM10" s="7">
        <f>5</f>
        <v>5</v>
      </c>
      <c r="AN10" s="7">
        <f t="shared" si="18"/>
        <v>-5</v>
      </c>
      <c r="AO10" s="8">
        <f t="shared" si="19"/>
        <v>0</v>
      </c>
      <c r="AP10" s="6"/>
      <c r="AQ10" s="7">
        <f>5</f>
        <v>5</v>
      </c>
      <c r="AR10" s="7">
        <f t="shared" si="20"/>
        <v>-5</v>
      </c>
      <c r="AS10" s="8">
        <f t="shared" si="21"/>
        <v>0</v>
      </c>
      <c r="AT10" s="6"/>
      <c r="AU10" s="7">
        <f>5</f>
        <v>5</v>
      </c>
      <c r="AV10" s="7">
        <f t="shared" si="22"/>
        <v>-5</v>
      </c>
      <c r="AW10" s="8">
        <f t="shared" si="23"/>
        <v>0</v>
      </c>
      <c r="AX10" s="7">
        <f t="shared" si="24"/>
        <v>0</v>
      </c>
      <c r="AY10" s="7">
        <f t="shared" si="25"/>
        <v>60</v>
      </c>
      <c r="AZ10" s="7">
        <f t="shared" si="26"/>
        <v>-60</v>
      </c>
      <c r="BA10" s="8">
        <f t="shared" si="27"/>
        <v>0</v>
      </c>
    </row>
    <row r="11" spans="1:53">
      <c r="A11" s="5" t="s">
        <v>24</v>
      </c>
      <c r="B11" s="6"/>
      <c r="C11" s="7">
        <f>8</f>
        <v>8</v>
      </c>
      <c r="D11" s="7">
        <f t="shared" si="0"/>
        <v>-8</v>
      </c>
      <c r="E11" s="8">
        <f t="shared" si="1"/>
        <v>0</v>
      </c>
      <c r="F11" s="6"/>
      <c r="G11" s="7">
        <f>8</f>
        <v>8</v>
      </c>
      <c r="H11" s="7">
        <f t="shared" si="2"/>
        <v>-8</v>
      </c>
      <c r="I11" s="8">
        <f t="shared" si="3"/>
        <v>0</v>
      </c>
      <c r="J11" s="6"/>
      <c r="K11" s="7">
        <f>8</f>
        <v>8</v>
      </c>
      <c r="L11" s="7">
        <f t="shared" si="4"/>
        <v>-8</v>
      </c>
      <c r="M11" s="8">
        <f t="shared" si="5"/>
        <v>0</v>
      </c>
      <c r="N11" s="6"/>
      <c r="O11" s="7">
        <f>8</f>
        <v>8</v>
      </c>
      <c r="P11" s="7">
        <f t="shared" si="6"/>
        <v>-8</v>
      </c>
      <c r="Q11" s="8">
        <f t="shared" si="7"/>
        <v>0</v>
      </c>
      <c r="R11" s="6"/>
      <c r="S11" s="7">
        <f>8</f>
        <v>8</v>
      </c>
      <c r="T11" s="7">
        <f t="shared" si="8"/>
        <v>-8</v>
      </c>
      <c r="U11" s="8">
        <f t="shared" si="9"/>
        <v>0</v>
      </c>
      <c r="V11" s="6"/>
      <c r="W11" s="7">
        <f>8</f>
        <v>8</v>
      </c>
      <c r="X11" s="7">
        <f t="shared" si="10"/>
        <v>-8</v>
      </c>
      <c r="Y11" s="8">
        <f t="shared" si="11"/>
        <v>0</v>
      </c>
      <c r="Z11" s="6"/>
      <c r="AA11" s="7">
        <f>8</f>
        <v>8</v>
      </c>
      <c r="AB11" s="7">
        <f t="shared" si="12"/>
        <v>-8</v>
      </c>
      <c r="AC11" s="8">
        <f t="shared" si="13"/>
        <v>0</v>
      </c>
      <c r="AD11" s="6"/>
      <c r="AE11" s="7">
        <f>8</f>
        <v>8</v>
      </c>
      <c r="AF11" s="7">
        <f t="shared" si="14"/>
        <v>-8</v>
      </c>
      <c r="AG11" s="8">
        <f t="shared" si="15"/>
        <v>0</v>
      </c>
      <c r="AH11" s="6"/>
      <c r="AI11" s="7">
        <f>8</f>
        <v>8</v>
      </c>
      <c r="AJ11" s="7">
        <f t="shared" si="16"/>
        <v>-8</v>
      </c>
      <c r="AK11" s="8">
        <f t="shared" si="17"/>
        <v>0</v>
      </c>
      <c r="AL11" s="6"/>
      <c r="AM11" s="7">
        <f>8</f>
        <v>8</v>
      </c>
      <c r="AN11" s="7">
        <f t="shared" si="18"/>
        <v>-8</v>
      </c>
      <c r="AO11" s="8">
        <f t="shared" si="19"/>
        <v>0</v>
      </c>
      <c r="AP11" s="6"/>
      <c r="AQ11" s="7">
        <f>8</f>
        <v>8</v>
      </c>
      <c r="AR11" s="7">
        <f t="shared" si="20"/>
        <v>-8</v>
      </c>
      <c r="AS11" s="8">
        <f t="shared" si="21"/>
        <v>0</v>
      </c>
      <c r="AT11" s="6"/>
      <c r="AU11" s="7">
        <f>8</f>
        <v>8</v>
      </c>
      <c r="AV11" s="7">
        <f t="shared" si="22"/>
        <v>-8</v>
      </c>
      <c r="AW11" s="8">
        <f t="shared" si="23"/>
        <v>0</v>
      </c>
      <c r="AX11" s="7">
        <f t="shared" si="24"/>
        <v>0</v>
      </c>
      <c r="AY11" s="7">
        <f t="shared" si="25"/>
        <v>96</v>
      </c>
      <c r="AZ11" s="7">
        <f t="shared" si="26"/>
        <v>-96</v>
      </c>
      <c r="BA11" s="8">
        <f t="shared" si="27"/>
        <v>0</v>
      </c>
    </row>
    <row r="12" spans="1:53">
      <c r="A12" s="5" t="s">
        <v>25</v>
      </c>
      <c r="B12" s="6"/>
      <c r="C12" s="7">
        <f>9</f>
        <v>9</v>
      </c>
      <c r="D12" s="7">
        <f t="shared" si="0"/>
        <v>-9</v>
      </c>
      <c r="E12" s="8">
        <f t="shared" si="1"/>
        <v>0</v>
      </c>
      <c r="F12" s="7">
        <f>130000</f>
        <v>130000</v>
      </c>
      <c r="G12" s="7">
        <f>9</f>
        <v>9</v>
      </c>
      <c r="H12" s="7">
        <f t="shared" si="2"/>
        <v>129991</v>
      </c>
      <c r="I12" s="8">
        <f t="shared" si="3"/>
        <v>14444.4444444444</v>
      </c>
      <c r="J12" s="6"/>
      <c r="K12" s="7">
        <f>9</f>
        <v>9</v>
      </c>
      <c r="L12" s="7">
        <f t="shared" si="4"/>
        <v>-9</v>
      </c>
      <c r="M12" s="8">
        <f t="shared" si="5"/>
        <v>0</v>
      </c>
      <c r="N12" s="6"/>
      <c r="O12" s="7">
        <f>9</f>
        <v>9</v>
      </c>
      <c r="P12" s="7">
        <f t="shared" si="6"/>
        <v>-9</v>
      </c>
      <c r="Q12" s="8">
        <f t="shared" si="7"/>
        <v>0</v>
      </c>
      <c r="R12" s="6"/>
      <c r="S12" s="7">
        <f>9</f>
        <v>9</v>
      </c>
      <c r="T12" s="7">
        <f t="shared" si="8"/>
        <v>-9</v>
      </c>
      <c r="U12" s="8">
        <f t="shared" si="9"/>
        <v>0</v>
      </c>
      <c r="V12" s="6"/>
      <c r="W12" s="7">
        <f>9</f>
        <v>9</v>
      </c>
      <c r="X12" s="7">
        <f t="shared" si="10"/>
        <v>-9</v>
      </c>
      <c r="Y12" s="8">
        <f t="shared" si="11"/>
        <v>0</v>
      </c>
      <c r="Z12" s="6"/>
      <c r="AA12" s="7">
        <f>9</f>
        <v>9</v>
      </c>
      <c r="AB12" s="7">
        <f t="shared" si="12"/>
        <v>-9</v>
      </c>
      <c r="AC12" s="8">
        <f t="shared" si="13"/>
        <v>0</v>
      </c>
      <c r="AD12" s="6"/>
      <c r="AE12" s="7">
        <f>9</f>
        <v>9</v>
      </c>
      <c r="AF12" s="7">
        <f t="shared" si="14"/>
        <v>-9</v>
      </c>
      <c r="AG12" s="8">
        <f t="shared" si="15"/>
        <v>0</v>
      </c>
      <c r="AH12" s="6"/>
      <c r="AI12" s="7">
        <f>9</f>
        <v>9</v>
      </c>
      <c r="AJ12" s="7">
        <f t="shared" si="16"/>
        <v>-9</v>
      </c>
      <c r="AK12" s="8">
        <f t="shared" si="17"/>
        <v>0</v>
      </c>
      <c r="AL12" s="6"/>
      <c r="AM12" s="7">
        <f>9</f>
        <v>9</v>
      </c>
      <c r="AN12" s="7">
        <f t="shared" si="18"/>
        <v>-9</v>
      </c>
      <c r="AO12" s="8">
        <f t="shared" si="19"/>
        <v>0</v>
      </c>
      <c r="AP12" s="6"/>
      <c r="AQ12" s="7">
        <f>9</f>
        <v>9</v>
      </c>
      <c r="AR12" s="7">
        <f t="shared" si="20"/>
        <v>-9</v>
      </c>
      <c r="AS12" s="8">
        <f t="shared" si="21"/>
        <v>0</v>
      </c>
      <c r="AT12" s="6"/>
      <c r="AU12" s="7">
        <f>9</f>
        <v>9</v>
      </c>
      <c r="AV12" s="7">
        <f t="shared" si="22"/>
        <v>-9</v>
      </c>
      <c r="AW12" s="8">
        <f t="shared" si="23"/>
        <v>0</v>
      </c>
      <c r="AX12" s="7">
        <f t="shared" si="24"/>
        <v>130000</v>
      </c>
      <c r="AY12" s="7">
        <f t="shared" si="25"/>
        <v>108</v>
      </c>
      <c r="AZ12" s="7">
        <f t="shared" si="26"/>
        <v>129892</v>
      </c>
      <c r="BA12" s="8">
        <f t="shared" si="27"/>
        <v>1203.7037037037</v>
      </c>
    </row>
    <row r="13" spans="1:53">
      <c r="A13" s="5" t="s">
        <v>26</v>
      </c>
      <c r="B13" s="6"/>
      <c r="C13" s="7">
        <f>3</f>
        <v>3</v>
      </c>
      <c r="D13" s="7">
        <f t="shared" si="0"/>
        <v>-3</v>
      </c>
      <c r="E13" s="8">
        <f t="shared" si="1"/>
        <v>0</v>
      </c>
      <c r="F13" s="7">
        <f>385000</f>
        <v>385000</v>
      </c>
      <c r="G13" s="7">
        <f>3</f>
        <v>3</v>
      </c>
      <c r="H13" s="7">
        <f t="shared" si="2"/>
        <v>384997</v>
      </c>
      <c r="I13" s="8">
        <f t="shared" si="3"/>
        <v>128333.333333333</v>
      </c>
      <c r="J13" s="6"/>
      <c r="K13" s="7">
        <f>3</f>
        <v>3</v>
      </c>
      <c r="L13" s="7">
        <f t="shared" si="4"/>
        <v>-3</v>
      </c>
      <c r="M13" s="8">
        <f t="shared" si="5"/>
        <v>0</v>
      </c>
      <c r="N13" s="6"/>
      <c r="O13" s="7">
        <f>3</f>
        <v>3</v>
      </c>
      <c r="P13" s="7">
        <f t="shared" si="6"/>
        <v>-3</v>
      </c>
      <c r="Q13" s="8">
        <f t="shared" si="7"/>
        <v>0</v>
      </c>
      <c r="R13" s="6"/>
      <c r="S13" s="7">
        <f>3</f>
        <v>3</v>
      </c>
      <c r="T13" s="7">
        <f t="shared" si="8"/>
        <v>-3</v>
      </c>
      <c r="U13" s="8">
        <f t="shared" si="9"/>
        <v>0</v>
      </c>
      <c r="V13" s="6"/>
      <c r="W13" s="7">
        <f>3</f>
        <v>3</v>
      </c>
      <c r="X13" s="7">
        <f t="shared" si="10"/>
        <v>-3</v>
      </c>
      <c r="Y13" s="8">
        <f t="shared" si="11"/>
        <v>0</v>
      </c>
      <c r="Z13" s="6"/>
      <c r="AA13" s="7">
        <f>3</f>
        <v>3</v>
      </c>
      <c r="AB13" s="7">
        <f t="shared" si="12"/>
        <v>-3</v>
      </c>
      <c r="AC13" s="8">
        <f t="shared" si="13"/>
        <v>0</v>
      </c>
      <c r="AD13" s="6"/>
      <c r="AE13" s="7">
        <f>3</f>
        <v>3</v>
      </c>
      <c r="AF13" s="7">
        <f t="shared" si="14"/>
        <v>-3</v>
      </c>
      <c r="AG13" s="8">
        <f t="shared" si="15"/>
        <v>0</v>
      </c>
      <c r="AH13" s="6"/>
      <c r="AI13" s="7">
        <f>3</f>
        <v>3</v>
      </c>
      <c r="AJ13" s="7">
        <f t="shared" si="16"/>
        <v>-3</v>
      </c>
      <c r="AK13" s="8">
        <f t="shared" si="17"/>
        <v>0</v>
      </c>
      <c r="AL13" s="6"/>
      <c r="AM13" s="7">
        <f>3</f>
        <v>3</v>
      </c>
      <c r="AN13" s="7">
        <f t="shared" si="18"/>
        <v>-3</v>
      </c>
      <c r="AO13" s="8">
        <f t="shared" si="19"/>
        <v>0</v>
      </c>
      <c r="AP13" s="6"/>
      <c r="AQ13" s="7">
        <f>3</f>
        <v>3</v>
      </c>
      <c r="AR13" s="7">
        <f t="shared" si="20"/>
        <v>-3</v>
      </c>
      <c r="AS13" s="8">
        <f t="shared" si="21"/>
        <v>0</v>
      </c>
      <c r="AT13" s="6"/>
      <c r="AU13" s="7">
        <f>3</f>
        <v>3</v>
      </c>
      <c r="AV13" s="7">
        <f t="shared" si="22"/>
        <v>-3</v>
      </c>
      <c r="AW13" s="8">
        <f t="shared" si="23"/>
        <v>0</v>
      </c>
      <c r="AX13" s="7">
        <f t="shared" si="24"/>
        <v>385000</v>
      </c>
      <c r="AY13" s="7">
        <f t="shared" si="25"/>
        <v>36</v>
      </c>
      <c r="AZ13" s="7">
        <f t="shared" si="26"/>
        <v>384964</v>
      </c>
      <c r="BA13" s="8">
        <f t="shared" si="27"/>
        <v>10694.4444444444</v>
      </c>
    </row>
    <row r="14" spans="1:53">
      <c r="A14" s="5" t="s">
        <v>27</v>
      </c>
      <c r="B14" s="6"/>
      <c r="C14" s="7">
        <f>2</f>
        <v>2</v>
      </c>
      <c r="D14" s="7">
        <f t="shared" si="0"/>
        <v>-2</v>
      </c>
      <c r="E14" s="8">
        <f t="shared" si="1"/>
        <v>0</v>
      </c>
      <c r="F14" s="6"/>
      <c r="G14" s="7">
        <f>2</f>
        <v>2</v>
      </c>
      <c r="H14" s="7">
        <f t="shared" si="2"/>
        <v>-2</v>
      </c>
      <c r="I14" s="8">
        <f t="shared" si="3"/>
        <v>0</v>
      </c>
      <c r="J14" s="6"/>
      <c r="K14" s="7">
        <f>2</f>
        <v>2</v>
      </c>
      <c r="L14" s="7">
        <f t="shared" si="4"/>
        <v>-2</v>
      </c>
      <c r="M14" s="8">
        <f t="shared" si="5"/>
        <v>0</v>
      </c>
      <c r="N14" s="6"/>
      <c r="O14" s="7">
        <f>2</f>
        <v>2</v>
      </c>
      <c r="P14" s="7">
        <f t="shared" si="6"/>
        <v>-2</v>
      </c>
      <c r="Q14" s="8">
        <f t="shared" si="7"/>
        <v>0</v>
      </c>
      <c r="R14" s="6"/>
      <c r="S14" s="7">
        <f>2</f>
        <v>2</v>
      </c>
      <c r="T14" s="7">
        <f t="shared" si="8"/>
        <v>-2</v>
      </c>
      <c r="U14" s="8">
        <f t="shared" si="9"/>
        <v>0</v>
      </c>
      <c r="V14" s="6"/>
      <c r="W14" s="7">
        <f>2</f>
        <v>2</v>
      </c>
      <c r="X14" s="7">
        <f t="shared" si="10"/>
        <v>-2</v>
      </c>
      <c r="Y14" s="8">
        <f t="shared" si="11"/>
        <v>0</v>
      </c>
      <c r="Z14" s="6"/>
      <c r="AA14" s="7">
        <f>2</f>
        <v>2</v>
      </c>
      <c r="AB14" s="7">
        <f t="shared" si="12"/>
        <v>-2</v>
      </c>
      <c r="AC14" s="8">
        <f t="shared" si="13"/>
        <v>0</v>
      </c>
      <c r="AD14" s="6"/>
      <c r="AE14" s="7">
        <f>2</f>
        <v>2</v>
      </c>
      <c r="AF14" s="7">
        <f t="shared" si="14"/>
        <v>-2</v>
      </c>
      <c r="AG14" s="8">
        <f t="shared" si="15"/>
        <v>0</v>
      </c>
      <c r="AH14" s="6"/>
      <c r="AI14" s="7">
        <f>2</f>
        <v>2</v>
      </c>
      <c r="AJ14" s="7">
        <f t="shared" si="16"/>
        <v>-2</v>
      </c>
      <c r="AK14" s="8">
        <f t="shared" si="17"/>
        <v>0</v>
      </c>
      <c r="AL14" s="6"/>
      <c r="AM14" s="7">
        <f>2</f>
        <v>2</v>
      </c>
      <c r="AN14" s="7">
        <f t="shared" si="18"/>
        <v>-2</v>
      </c>
      <c r="AO14" s="8">
        <f t="shared" si="19"/>
        <v>0</v>
      </c>
      <c r="AP14" s="6"/>
      <c r="AQ14" s="7">
        <f>2</f>
        <v>2</v>
      </c>
      <c r="AR14" s="7">
        <f t="shared" si="20"/>
        <v>-2</v>
      </c>
      <c r="AS14" s="8">
        <f t="shared" si="21"/>
        <v>0</v>
      </c>
      <c r="AT14" s="6"/>
      <c r="AU14" s="7">
        <f>2</f>
        <v>2</v>
      </c>
      <c r="AV14" s="7">
        <f t="shared" si="22"/>
        <v>-2</v>
      </c>
      <c r="AW14" s="8">
        <f t="shared" si="23"/>
        <v>0</v>
      </c>
      <c r="AX14" s="7">
        <f t="shared" si="24"/>
        <v>0</v>
      </c>
      <c r="AY14" s="7">
        <f t="shared" si="25"/>
        <v>24</v>
      </c>
      <c r="AZ14" s="7">
        <f t="shared" si="26"/>
        <v>-24</v>
      </c>
      <c r="BA14" s="8">
        <f t="shared" si="27"/>
        <v>0</v>
      </c>
    </row>
    <row r="15" spans="1:53">
      <c r="A15" s="5" t="s">
        <v>28</v>
      </c>
      <c r="B15" s="6"/>
      <c r="C15" s="7">
        <f>4</f>
        <v>4</v>
      </c>
      <c r="D15" s="7">
        <f t="shared" si="0"/>
        <v>-4</v>
      </c>
      <c r="E15" s="8">
        <f t="shared" si="1"/>
        <v>0</v>
      </c>
      <c r="F15" s="6"/>
      <c r="G15" s="7">
        <f>4</f>
        <v>4</v>
      </c>
      <c r="H15" s="7">
        <f t="shared" si="2"/>
        <v>-4</v>
      </c>
      <c r="I15" s="8">
        <f t="shared" si="3"/>
        <v>0</v>
      </c>
      <c r="J15" s="6"/>
      <c r="K15" s="7">
        <f>4</f>
        <v>4</v>
      </c>
      <c r="L15" s="7">
        <f t="shared" si="4"/>
        <v>-4</v>
      </c>
      <c r="M15" s="8">
        <f t="shared" si="5"/>
        <v>0</v>
      </c>
      <c r="N15" s="6"/>
      <c r="O15" s="7">
        <f>4</f>
        <v>4</v>
      </c>
      <c r="P15" s="7">
        <f t="shared" si="6"/>
        <v>-4</v>
      </c>
      <c r="Q15" s="8">
        <f t="shared" si="7"/>
        <v>0</v>
      </c>
      <c r="R15" s="6"/>
      <c r="S15" s="7">
        <f>4</f>
        <v>4</v>
      </c>
      <c r="T15" s="7">
        <f t="shared" si="8"/>
        <v>-4</v>
      </c>
      <c r="U15" s="8">
        <f t="shared" si="9"/>
        <v>0</v>
      </c>
      <c r="V15" s="6"/>
      <c r="W15" s="7">
        <f>4</f>
        <v>4</v>
      </c>
      <c r="X15" s="7">
        <f t="shared" si="10"/>
        <v>-4</v>
      </c>
      <c r="Y15" s="8">
        <f t="shared" si="11"/>
        <v>0</v>
      </c>
      <c r="Z15" s="6"/>
      <c r="AA15" s="7">
        <f>4</f>
        <v>4</v>
      </c>
      <c r="AB15" s="7">
        <f t="shared" si="12"/>
        <v>-4</v>
      </c>
      <c r="AC15" s="8">
        <f t="shared" si="13"/>
        <v>0</v>
      </c>
      <c r="AD15" s="6"/>
      <c r="AE15" s="7">
        <f>4</f>
        <v>4</v>
      </c>
      <c r="AF15" s="7">
        <f t="shared" si="14"/>
        <v>-4</v>
      </c>
      <c r="AG15" s="8">
        <f t="shared" si="15"/>
        <v>0</v>
      </c>
      <c r="AH15" s="6"/>
      <c r="AI15" s="7">
        <f>4</f>
        <v>4</v>
      </c>
      <c r="AJ15" s="7">
        <f t="shared" si="16"/>
        <v>-4</v>
      </c>
      <c r="AK15" s="8">
        <f t="shared" si="17"/>
        <v>0</v>
      </c>
      <c r="AL15" s="6"/>
      <c r="AM15" s="7">
        <f>4</f>
        <v>4</v>
      </c>
      <c r="AN15" s="7">
        <f t="shared" si="18"/>
        <v>-4</v>
      </c>
      <c r="AO15" s="8">
        <f t="shared" si="19"/>
        <v>0</v>
      </c>
      <c r="AP15" s="6"/>
      <c r="AQ15" s="7">
        <f>4</f>
        <v>4</v>
      </c>
      <c r="AR15" s="7">
        <f t="shared" si="20"/>
        <v>-4</v>
      </c>
      <c r="AS15" s="8">
        <f t="shared" si="21"/>
        <v>0</v>
      </c>
      <c r="AT15" s="6"/>
      <c r="AU15" s="7">
        <f>4</f>
        <v>4</v>
      </c>
      <c r="AV15" s="7">
        <f t="shared" si="22"/>
        <v>-4</v>
      </c>
      <c r="AW15" s="8">
        <f t="shared" si="23"/>
        <v>0</v>
      </c>
      <c r="AX15" s="7">
        <f t="shared" si="24"/>
        <v>0</v>
      </c>
      <c r="AY15" s="7">
        <f t="shared" si="25"/>
        <v>48</v>
      </c>
      <c r="AZ15" s="7">
        <f t="shared" si="26"/>
        <v>-48</v>
      </c>
      <c r="BA15" s="8">
        <f t="shared" si="27"/>
        <v>0</v>
      </c>
    </row>
    <row r="16" spans="1:53">
      <c r="A16" s="5" t="s">
        <v>29</v>
      </c>
      <c r="B16" s="9">
        <f>(((((((B8)+(B9))+(B10))+(B11))+(B12))+(B13))+(B14))+(B15)</f>
        <v>0</v>
      </c>
      <c r="C16" s="9">
        <f>(((((((C8)+(C9))+(C10))+(C11))+(C12))+(C13))+(C14))+(C15)</f>
        <v>6697.67</v>
      </c>
      <c r="D16" s="9">
        <f t="shared" si="0"/>
        <v>-6697.67</v>
      </c>
      <c r="E16" s="10">
        <f t="shared" si="1"/>
        <v>0</v>
      </c>
      <c r="F16" s="9">
        <f>(((((((F8)+(F9))+(F10))+(F11))+(F12))+(F13))+(F14))+(F15)</f>
        <v>515000</v>
      </c>
      <c r="G16" s="9">
        <f>(((((((G8)+(G9))+(G10))+(G11))+(G12))+(G13))+(G14))+(G15)</f>
        <v>6697.67</v>
      </c>
      <c r="H16" s="9">
        <f t="shared" si="2"/>
        <v>508302.33</v>
      </c>
      <c r="I16" s="10">
        <f t="shared" si="3"/>
        <v>76.8924118387439</v>
      </c>
      <c r="J16" s="9">
        <f>(((((((J8)+(J9))+(J10))+(J11))+(J12))+(J13))+(J14))+(J15)</f>
        <v>0</v>
      </c>
      <c r="K16" s="9">
        <f>(((((((K8)+(K9))+(K10))+(K11))+(K12))+(K13))+(K14))+(K15)</f>
        <v>6697.67</v>
      </c>
      <c r="L16" s="9">
        <f t="shared" si="4"/>
        <v>-6697.67</v>
      </c>
      <c r="M16" s="10">
        <f t="shared" si="5"/>
        <v>0</v>
      </c>
      <c r="N16" s="9">
        <f>(((((((N8)+(N9))+(N10))+(N11))+(N12))+(N13))+(N14))+(N15)</f>
        <v>0</v>
      </c>
      <c r="O16" s="9">
        <f>(((((((O8)+(O9))+(O10))+(O11))+(O12))+(O13))+(O14))+(O15)</f>
        <v>6697.67</v>
      </c>
      <c r="P16" s="9">
        <f t="shared" si="6"/>
        <v>-6697.67</v>
      </c>
      <c r="Q16" s="10">
        <f t="shared" si="7"/>
        <v>0</v>
      </c>
      <c r="R16" s="9">
        <f>(((((((R8)+(R9))+(R10))+(R11))+(R12))+(R13))+(R14))+(R15)</f>
        <v>0</v>
      </c>
      <c r="S16" s="9">
        <f>(((((((S8)+(S9))+(S10))+(S11))+(S12))+(S13))+(S14))+(S15)</f>
        <v>6697.67</v>
      </c>
      <c r="T16" s="9">
        <f t="shared" si="8"/>
        <v>-6697.67</v>
      </c>
      <c r="U16" s="10">
        <f t="shared" si="9"/>
        <v>0</v>
      </c>
      <c r="V16" s="9">
        <f>(((((((V8)+(V9))+(V10))+(V11))+(V12))+(V13))+(V14))+(V15)</f>
        <v>0</v>
      </c>
      <c r="W16" s="9">
        <f>(((((((W8)+(W9))+(W10))+(W11))+(W12))+(W13))+(W14))+(W15)</f>
        <v>6697.67</v>
      </c>
      <c r="X16" s="9">
        <f t="shared" si="10"/>
        <v>-6697.67</v>
      </c>
      <c r="Y16" s="10">
        <f t="shared" si="11"/>
        <v>0</v>
      </c>
      <c r="Z16" s="9">
        <f>(((((((Z8)+(Z9))+(Z10))+(Z11))+(Z12))+(Z13))+(Z14))+(Z15)</f>
        <v>0</v>
      </c>
      <c r="AA16" s="9">
        <f>(((((((AA8)+(AA9))+(AA10))+(AA11))+(AA12))+(AA13))+(AA14))+(AA15)</f>
        <v>6697.67</v>
      </c>
      <c r="AB16" s="9">
        <f t="shared" si="12"/>
        <v>-6697.67</v>
      </c>
      <c r="AC16" s="10">
        <f t="shared" si="13"/>
        <v>0</v>
      </c>
      <c r="AD16" s="9">
        <f>(((((((AD8)+(AD9))+(AD10))+(AD11))+(AD12))+(AD13))+(AD14))+(AD15)</f>
        <v>0</v>
      </c>
      <c r="AE16" s="9">
        <f>(((((((AE8)+(AE9))+(AE10))+(AE11))+(AE12))+(AE13))+(AE14))+(AE15)</f>
        <v>6697.67</v>
      </c>
      <c r="AF16" s="9">
        <f t="shared" si="14"/>
        <v>-6697.67</v>
      </c>
      <c r="AG16" s="10">
        <f t="shared" si="15"/>
        <v>0</v>
      </c>
      <c r="AH16" s="9">
        <f>(((((((AH8)+(AH9))+(AH10))+(AH11))+(AH12))+(AH13))+(AH14))+(AH15)</f>
        <v>0</v>
      </c>
      <c r="AI16" s="9">
        <f>(((((((AI8)+(AI9))+(AI10))+(AI11))+(AI12))+(AI13))+(AI14))+(AI15)</f>
        <v>6697.67</v>
      </c>
      <c r="AJ16" s="9">
        <f t="shared" si="16"/>
        <v>-6697.67</v>
      </c>
      <c r="AK16" s="10">
        <f t="shared" si="17"/>
        <v>0</v>
      </c>
      <c r="AL16" s="9">
        <f>(((((((AL8)+(AL9))+(AL10))+(AL11))+(AL12))+(AL13))+(AL14))+(AL15)</f>
        <v>0</v>
      </c>
      <c r="AM16" s="9">
        <f>(((((((AM8)+(AM9))+(AM10))+(AM11))+(AM12))+(AM13))+(AM14))+(AM15)</f>
        <v>6697.67</v>
      </c>
      <c r="AN16" s="9">
        <f t="shared" si="18"/>
        <v>-6697.67</v>
      </c>
      <c r="AO16" s="10">
        <f t="shared" si="19"/>
        <v>0</v>
      </c>
      <c r="AP16" s="9">
        <f>(((((((AP8)+(AP9))+(AP10))+(AP11))+(AP12))+(AP13))+(AP14))+(AP15)</f>
        <v>0</v>
      </c>
      <c r="AQ16" s="9">
        <f>(((((((AQ8)+(AQ9))+(AQ10))+(AQ11))+(AQ12))+(AQ13))+(AQ14))+(AQ15)</f>
        <v>6697.67</v>
      </c>
      <c r="AR16" s="9">
        <f t="shared" si="20"/>
        <v>-6697.67</v>
      </c>
      <c r="AS16" s="10">
        <f t="shared" si="21"/>
        <v>0</v>
      </c>
      <c r="AT16" s="9">
        <f>(((((((AT8)+(AT9))+(AT10))+(AT11))+(AT12))+(AT13))+(AT14))+(AT15)</f>
        <v>0</v>
      </c>
      <c r="AU16" s="9">
        <f>(((((((AU8)+(AU9))+(AU10))+(AU11))+(AU12))+(AU13))+(AU14))+(AU15)</f>
        <v>6697.63</v>
      </c>
      <c r="AV16" s="9">
        <f t="shared" si="22"/>
        <v>-6697.63</v>
      </c>
      <c r="AW16" s="10">
        <f t="shared" si="23"/>
        <v>0</v>
      </c>
      <c r="AX16" s="9">
        <f t="shared" si="24"/>
        <v>515000</v>
      </c>
      <c r="AY16" s="9">
        <f t="shared" si="25"/>
        <v>80372</v>
      </c>
      <c r="AZ16" s="9">
        <f t="shared" si="26"/>
        <v>434628</v>
      </c>
      <c r="BA16" s="10">
        <f t="shared" si="27"/>
        <v>6.40770417558354</v>
      </c>
    </row>
    <row r="17" spans="1:53">
      <c r="A17" s="5" t="s">
        <v>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1:53">
      <c r="A18" s="5" t="s">
        <v>31</v>
      </c>
      <c r="B18" s="6"/>
      <c r="C18" s="6"/>
      <c r="D18" s="7">
        <f>(B18)-(C18)</f>
        <v>0</v>
      </c>
      <c r="E18" s="8" t="str">
        <f>IF(C18=0,"",(B18)/(C18))</f>
        <v/>
      </c>
      <c r="F18" s="7">
        <f>40000</f>
        <v>40000</v>
      </c>
      <c r="G18" s="6"/>
      <c r="H18" s="7">
        <f>(F18)-(G18)</f>
        <v>40000</v>
      </c>
      <c r="I18" s="8" t="str">
        <f>IF(G18=0,"",(F18)/(G18))</f>
        <v/>
      </c>
      <c r="J18" s="6"/>
      <c r="K18" s="6"/>
      <c r="L18" s="7">
        <f>(J18)-(K18)</f>
        <v>0</v>
      </c>
      <c r="M18" s="8" t="str">
        <f>IF(K18=0,"",(J18)/(K18))</f>
        <v/>
      </c>
      <c r="N18" s="6"/>
      <c r="O18" s="6"/>
      <c r="P18" s="7">
        <f>(N18)-(O18)</f>
        <v>0</v>
      </c>
      <c r="Q18" s="8" t="str">
        <f>IF(O18=0,"",(N18)/(O18))</f>
        <v/>
      </c>
      <c r="R18" s="6"/>
      <c r="S18" s="6"/>
      <c r="T18" s="7">
        <f>(R18)-(S18)</f>
        <v>0</v>
      </c>
      <c r="U18" s="8" t="str">
        <f>IF(S18=0,"",(R18)/(S18))</f>
        <v/>
      </c>
      <c r="V18" s="6"/>
      <c r="W18" s="6"/>
      <c r="X18" s="7">
        <f>(V18)-(W18)</f>
        <v>0</v>
      </c>
      <c r="Y18" s="8" t="str">
        <f>IF(W18=0,"",(V18)/(W18))</f>
        <v/>
      </c>
      <c r="Z18" s="6"/>
      <c r="AA18" s="6"/>
      <c r="AB18" s="7">
        <f>(Z18)-(AA18)</f>
        <v>0</v>
      </c>
      <c r="AC18" s="8" t="str">
        <f>IF(AA18=0,"",(Z18)/(AA18))</f>
        <v/>
      </c>
      <c r="AD18" s="6"/>
      <c r="AE18" s="6"/>
      <c r="AF18" s="7">
        <f>(AD18)-(AE18)</f>
        <v>0</v>
      </c>
      <c r="AG18" s="8" t="str">
        <f>IF(AE18=0,"",(AD18)/(AE18))</f>
        <v/>
      </c>
      <c r="AH18" s="6"/>
      <c r="AI18" s="6"/>
      <c r="AJ18" s="7">
        <f>(AH18)-(AI18)</f>
        <v>0</v>
      </c>
      <c r="AK18" s="8" t="str">
        <f>IF(AI18=0,"",(AH18)/(AI18))</f>
        <v/>
      </c>
      <c r="AL18" s="6"/>
      <c r="AM18" s="6"/>
      <c r="AN18" s="7">
        <f>(AL18)-(AM18)</f>
        <v>0</v>
      </c>
      <c r="AO18" s="8" t="str">
        <f>IF(AM18=0,"",(AL18)/(AM18))</f>
        <v/>
      </c>
      <c r="AP18" s="6"/>
      <c r="AQ18" s="6"/>
      <c r="AR18" s="7">
        <f>(AP18)-(AQ18)</f>
        <v>0</v>
      </c>
      <c r="AS18" s="8" t="str">
        <f>IF(AQ18=0,"",(AP18)/(AQ18))</f>
        <v/>
      </c>
      <c r="AT18" s="6"/>
      <c r="AU18" s="6"/>
      <c r="AV18" s="7">
        <f>(AT18)-(AU18)</f>
        <v>0</v>
      </c>
      <c r="AW18" s="8" t="str">
        <f>IF(AU18=0,"",(AT18)/(AU18))</f>
        <v/>
      </c>
      <c r="AX18" s="7">
        <f>(((((((((((B18)+(F18))+(J18))+(N18))+(R18))+(V18))+(Z18))+(AD18))+(AH18))+(AL18))+(AP18))+(AT18)</f>
        <v>40000</v>
      </c>
      <c r="AY18" s="7">
        <f>(((((((((((C18)+(G18))+(K18))+(O18))+(S18))+(W18))+(AA18))+(AE18))+(AI18))+(AM18))+(AQ18))+(AU18)</f>
        <v>0</v>
      </c>
      <c r="AZ18" s="7">
        <f>(AX18)-(AY18)</f>
        <v>40000</v>
      </c>
      <c r="BA18" s="8" t="str">
        <f>IF(AY18=0,"",(AX18)/(AY18))</f>
        <v/>
      </c>
    </row>
    <row r="19" spans="1:53">
      <c r="A19" s="5" t="s">
        <v>32</v>
      </c>
      <c r="B19" s="9">
        <f>B18</f>
        <v>0</v>
      </c>
      <c r="C19" s="9">
        <f>C18</f>
        <v>0</v>
      </c>
      <c r="D19" s="9">
        <f>(B19)-(C19)</f>
        <v>0</v>
      </c>
      <c r="E19" s="10" t="str">
        <f>IF(C19=0,"",(B19)/(C19))</f>
        <v/>
      </c>
      <c r="F19" s="9">
        <f>F18</f>
        <v>40000</v>
      </c>
      <c r="G19" s="9">
        <f>G18</f>
        <v>0</v>
      </c>
      <c r="H19" s="9">
        <f>(F19)-(G19)</f>
        <v>40000</v>
      </c>
      <c r="I19" s="10" t="str">
        <f>IF(G19=0,"",(F19)/(G19))</f>
        <v/>
      </c>
      <c r="J19" s="9">
        <f>J18</f>
        <v>0</v>
      </c>
      <c r="K19" s="9">
        <f>K18</f>
        <v>0</v>
      </c>
      <c r="L19" s="9">
        <f>(J19)-(K19)</f>
        <v>0</v>
      </c>
      <c r="M19" s="10" t="str">
        <f>IF(K19=0,"",(J19)/(K19))</f>
        <v/>
      </c>
      <c r="N19" s="9">
        <f>N18</f>
        <v>0</v>
      </c>
      <c r="O19" s="9">
        <f>O18</f>
        <v>0</v>
      </c>
      <c r="P19" s="9">
        <f>(N19)-(O19)</f>
        <v>0</v>
      </c>
      <c r="Q19" s="10" t="str">
        <f>IF(O19=0,"",(N19)/(O19))</f>
        <v/>
      </c>
      <c r="R19" s="9">
        <f>R18</f>
        <v>0</v>
      </c>
      <c r="S19" s="9">
        <f>S18</f>
        <v>0</v>
      </c>
      <c r="T19" s="9">
        <f>(R19)-(S19)</f>
        <v>0</v>
      </c>
      <c r="U19" s="10" t="str">
        <f>IF(S19=0,"",(R19)/(S19))</f>
        <v/>
      </c>
      <c r="V19" s="9">
        <f>V18</f>
        <v>0</v>
      </c>
      <c r="W19" s="9">
        <f>W18</f>
        <v>0</v>
      </c>
      <c r="X19" s="9">
        <f>(V19)-(W19)</f>
        <v>0</v>
      </c>
      <c r="Y19" s="10" t="str">
        <f>IF(W19=0,"",(V19)/(W19))</f>
        <v/>
      </c>
      <c r="Z19" s="9">
        <f>Z18</f>
        <v>0</v>
      </c>
      <c r="AA19" s="9">
        <f>AA18</f>
        <v>0</v>
      </c>
      <c r="AB19" s="9">
        <f>(Z19)-(AA19)</f>
        <v>0</v>
      </c>
      <c r="AC19" s="10" t="str">
        <f>IF(AA19=0,"",(Z19)/(AA19))</f>
        <v/>
      </c>
      <c r="AD19" s="9">
        <f>AD18</f>
        <v>0</v>
      </c>
      <c r="AE19" s="9">
        <f>AE18</f>
        <v>0</v>
      </c>
      <c r="AF19" s="9">
        <f>(AD19)-(AE19)</f>
        <v>0</v>
      </c>
      <c r="AG19" s="10" t="str">
        <f>IF(AE19=0,"",(AD19)/(AE19))</f>
        <v/>
      </c>
      <c r="AH19" s="9">
        <f>AH18</f>
        <v>0</v>
      </c>
      <c r="AI19" s="9">
        <f>AI18</f>
        <v>0</v>
      </c>
      <c r="AJ19" s="9">
        <f>(AH19)-(AI19)</f>
        <v>0</v>
      </c>
      <c r="AK19" s="10" t="str">
        <f>IF(AI19=0,"",(AH19)/(AI19))</f>
        <v/>
      </c>
      <c r="AL19" s="9">
        <f>AL18</f>
        <v>0</v>
      </c>
      <c r="AM19" s="9">
        <f>AM18</f>
        <v>0</v>
      </c>
      <c r="AN19" s="9">
        <f>(AL19)-(AM19)</f>
        <v>0</v>
      </c>
      <c r="AO19" s="10" t="str">
        <f>IF(AM19=0,"",(AL19)/(AM19))</f>
        <v/>
      </c>
      <c r="AP19" s="9">
        <f>AP18</f>
        <v>0</v>
      </c>
      <c r="AQ19" s="9">
        <f>AQ18</f>
        <v>0</v>
      </c>
      <c r="AR19" s="9">
        <f>(AP19)-(AQ19)</f>
        <v>0</v>
      </c>
      <c r="AS19" s="10" t="str">
        <f>IF(AQ19=0,"",(AP19)/(AQ19))</f>
        <v/>
      </c>
      <c r="AT19" s="9">
        <f>AT18</f>
        <v>0</v>
      </c>
      <c r="AU19" s="9">
        <f>AU18</f>
        <v>0</v>
      </c>
      <c r="AV19" s="9">
        <f>(AT19)-(AU19)</f>
        <v>0</v>
      </c>
      <c r="AW19" s="10" t="str">
        <f>IF(AU19=0,"",(AT19)/(AU19))</f>
        <v/>
      </c>
      <c r="AX19" s="9">
        <f>(((((((((((B19)+(F19))+(J19))+(N19))+(R19))+(V19))+(Z19))+(AD19))+(AH19))+(AL19))+(AP19))+(AT19)</f>
        <v>40000</v>
      </c>
      <c r="AY19" s="9">
        <f>(((((((((((C19)+(G19))+(K19))+(O19))+(S19))+(W19))+(AA19))+(AE19))+(AI19))+(AM19))+(AQ19))+(AU19)</f>
        <v>0</v>
      </c>
      <c r="AZ19" s="9">
        <f>(AX19)-(AY19)</f>
        <v>40000</v>
      </c>
      <c r="BA19" s="10" t="str">
        <f>IF(AY19=0,"",(AX19)/(AY19))</f>
        <v/>
      </c>
    </row>
    <row r="20" spans="1:53">
      <c r="A20" s="5" t="s">
        <v>33</v>
      </c>
      <c r="B20" s="9">
        <f>(B16)-(B19)</f>
        <v>0</v>
      </c>
      <c r="C20" s="9">
        <f>(C16)-(C19)</f>
        <v>6697.67</v>
      </c>
      <c r="D20" s="9">
        <f>(B20)-(C20)</f>
        <v>-6697.67</v>
      </c>
      <c r="E20" s="10">
        <f>IF(C20=0,"",(B20)/(C20))</f>
        <v>0</v>
      </c>
      <c r="F20" s="9">
        <f>(F16)-(F19)</f>
        <v>475000</v>
      </c>
      <c r="G20" s="9">
        <f>(G16)-(G19)</f>
        <v>6697.67</v>
      </c>
      <c r="H20" s="9">
        <f>(F20)-(G20)</f>
        <v>468302.33</v>
      </c>
      <c r="I20" s="10">
        <f>IF(G20=0,"",(F20)/(G20))</f>
        <v>70.9201856765114</v>
      </c>
      <c r="J20" s="9">
        <f>(J16)-(J19)</f>
        <v>0</v>
      </c>
      <c r="K20" s="9">
        <f>(K16)-(K19)</f>
        <v>6697.67</v>
      </c>
      <c r="L20" s="9">
        <f>(J20)-(K20)</f>
        <v>-6697.67</v>
      </c>
      <c r="M20" s="10">
        <f>IF(K20=0,"",(J20)/(K20))</f>
        <v>0</v>
      </c>
      <c r="N20" s="9">
        <f>(N16)-(N19)</f>
        <v>0</v>
      </c>
      <c r="O20" s="9">
        <f>(O16)-(O19)</f>
        <v>6697.67</v>
      </c>
      <c r="P20" s="9">
        <f>(N20)-(O20)</f>
        <v>-6697.67</v>
      </c>
      <c r="Q20" s="10">
        <f>IF(O20=0,"",(N20)/(O20))</f>
        <v>0</v>
      </c>
      <c r="R20" s="9">
        <f>(R16)-(R19)</f>
        <v>0</v>
      </c>
      <c r="S20" s="9">
        <f>(S16)-(S19)</f>
        <v>6697.67</v>
      </c>
      <c r="T20" s="9">
        <f>(R20)-(S20)</f>
        <v>-6697.67</v>
      </c>
      <c r="U20" s="10">
        <f>IF(S20=0,"",(R20)/(S20))</f>
        <v>0</v>
      </c>
      <c r="V20" s="9">
        <f>(V16)-(V19)</f>
        <v>0</v>
      </c>
      <c r="W20" s="9">
        <f>(W16)-(W19)</f>
        <v>6697.67</v>
      </c>
      <c r="X20" s="9">
        <f>(V20)-(W20)</f>
        <v>-6697.67</v>
      </c>
      <c r="Y20" s="10">
        <f>IF(W20=0,"",(V20)/(W20))</f>
        <v>0</v>
      </c>
      <c r="Z20" s="9">
        <f>(Z16)-(Z19)</f>
        <v>0</v>
      </c>
      <c r="AA20" s="9">
        <f>(AA16)-(AA19)</f>
        <v>6697.67</v>
      </c>
      <c r="AB20" s="9">
        <f>(Z20)-(AA20)</f>
        <v>-6697.67</v>
      </c>
      <c r="AC20" s="10">
        <f>IF(AA20=0,"",(Z20)/(AA20))</f>
        <v>0</v>
      </c>
      <c r="AD20" s="9">
        <f>(AD16)-(AD19)</f>
        <v>0</v>
      </c>
      <c r="AE20" s="9">
        <f>(AE16)-(AE19)</f>
        <v>6697.67</v>
      </c>
      <c r="AF20" s="9">
        <f>(AD20)-(AE20)</f>
        <v>-6697.67</v>
      </c>
      <c r="AG20" s="10">
        <f>IF(AE20=0,"",(AD20)/(AE20))</f>
        <v>0</v>
      </c>
      <c r="AH20" s="9">
        <f>(AH16)-(AH19)</f>
        <v>0</v>
      </c>
      <c r="AI20" s="9">
        <f>(AI16)-(AI19)</f>
        <v>6697.67</v>
      </c>
      <c r="AJ20" s="9">
        <f>(AH20)-(AI20)</f>
        <v>-6697.67</v>
      </c>
      <c r="AK20" s="10">
        <f>IF(AI20=0,"",(AH20)/(AI20))</f>
        <v>0</v>
      </c>
      <c r="AL20" s="9">
        <f>(AL16)-(AL19)</f>
        <v>0</v>
      </c>
      <c r="AM20" s="9">
        <f>(AM16)-(AM19)</f>
        <v>6697.67</v>
      </c>
      <c r="AN20" s="9">
        <f>(AL20)-(AM20)</f>
        <v>-6697.67</v>
      </c>
      <c r="AO20" s="10">
        <f>IF(AM20=0,"",(AL20)/(AM20))</f>
        <v>0</v>
      </c>
      <c r="AP20" s="9">
        <f>(AP16)-(AP19)</f>
        <v>0</v>
      </c>
      <c r="AQ20" s="9">
        <f>(AQ16)-(AQ19)</f>
        <v>6697.67</v>
      </c>
      <c r="AR20" s="9">
        <f>(AP20)-(AQ20)</f>
        <v>-6697.67</v>
      </c>
      <c r="AS20" s="10">
        <f>IF(AQ20=0,"",(AP20)/(AQ20))</f>
        <v>0</v>
      </c>
      <c r="AT20" s="9">
        <f>(AT16)-(AT19)</f>
        <v>0</v>
      </c>
      <c r="AU20" s="9">
        <f>(AU16)-(AU19)</f>
        <v>6697.63</v>
      </c>
      <c r="AV20" s="9">
        <f>(AT20)-(AU20)</f>
        <v>-6697.63</v>
      </c>
      <c r="AW20" s="10">
        <f>IF(AU20=0,"",(AT20)/(AU20))</f>
        <v>0</v>
      </c>
      <c r="AX20" s="9">
        <f>(((((((((((B20)+(F20))+(J20))+(N20))+(R20))+(V20))+(Z20))+(AD20))+(AH20))+(AL20))+(AP20))+(AT20)</f>
        <v>475000</v>
      </c>
      <c r="AY20" s="9">
        <f>(((((((((((C20)+(G20))+(K20))+(O20))+(S20))+(W20))+(AA20))+(AE20))+(AI20))+(AM20))+(AQ20))+(AU20)</f>
        <v>80372</v>
      </c>
      <c r="AZ20" s="9">
        <f>(AX20)-(AY20)</f>
        <v>394628</v>
      </c>
      <c r="BA20" s="10">
        <f>IF(AY20=0,"",(AX20)/(AY20))</f>
        <v>5.91001841437317</v>
      </c>
    </row>
    <row r="21" spans="1:53">
      <c r="A21" s="5" t="s">
        <v>34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</row>
    <row r="22" spans="1:53">
      <c r="A22" s="5" t="s">
        <v>35</v>
      </c>
      <c r="B22" s="6"/>
      <c r="C22" s="6"/>
      <c r="D22" s="7">
        <f t="shared" ref="D22:D27" si="28">(B22)-(C22)</f>
        <v>0</v>
      </c>
      <c r="E22" s="8" t="str">
        <f t="shared" ref="E22:E27" si="29">IF(C22=0,"",(B22)/(C22))</f>
        <v/>
      </c>
      <c r="F22" s="7">
        <f>50000</f>
        <v>50000</v>
      </c>
      <c r="G22" s="6"/>
      <c r="H22" s="7">
        <f t="shared" ref="H22:H27" si="30">(F22)-(G22)</f>
        <v>50000</v>
      </c>
      <c r="I22" s="8" t="str">
        <f t="shared" ref="I22:I27" si="31">IF(G22=0,"",(F22)/(G22))</f>
        <v/>
      </c>
      <c r="J22" s="6"/>
      <c r="K22" s="6"/>
      <c r="L22" s="7">
        <f t="shared" ref="L22:L27" si="32">(J22)-(K22)</f>
        <v>0</v>
      </c>
      <c r="M22" s="8" t="str">
        <f t="shared" ref="M22:M27" si="33">IF(K22=0,"",(J22)/(K22))</f>
        <v/>
      </c>
      <c r="N22" s="6"/>
      <c r="O22" s="6"/>
      <c r="P22" s="7">
        <f t="shared" ref="P22:P27" si="34">(N22)-(O22)</f>
        <v>0</v>
      </c>
      <c r="Q22" s="8" t="str">
        <f t="shared" ref="Q22:Q27" si="35">IF(O22=0,"",(N22)/(O22))</f>
        <v/>
      </c>
      <c r="R22" s="6"/>
      <c r="S22" s="6"/>
      <c r="T22" s="7">
        <f t="shared" ref="T22:T27" si="36">(R22)-(S22)</f>
        <v>0</v>
      </c>
      <c r="U22" s="8" t="str">
        <f t="shared" ref="U22:U27" si="37">IF(S22=0,"",(R22)/(S22))</f>
        <v/>
      </c>
      <c r="V22" s="6"/>
      <c r="W22" s="6"/>
      <c r="X22" s="7">
        <f t="shared" ref="X22:X27" si="38">(V22)-(W22)</f>
        <v>0</v>
      </c>
      <c r="Y22" s="8" t="str">
        <f t="shared" ref="Y22:Y27" si="39">IF(W22=0,"",(V22)/(W22))</f>
        <v/>
      </c>
      <c r="Z22" s="6"/>
      <c r="AA22" s="6"/>
      <c r="AB22" s="7">
        <f t="shared" ref="AB22:AB27" si="40">(Z22)-(AA22)</f>
        <v>0</v>
      </c>
      <c r="AC22" s="8" t="str">
        <f t="shared" ref="AC22:AC27" si="41">IF(AA22=0,"",(Z22)/(AA22))</f>
        <v/>
      </c>
      <c r="AD22" s="6"/>
      <c r="AE22" s="6"/>
      <c r="AF22" s="7">
        <f t="shared" ref="AF22:AF27" si="42">(AD22)-(AE22)</f>
        <v>0</v>
      </c>
      <c r="AG22" s="8" t="str">
        <f t="shared" ref="AG22:AG27" si="43">IF(AE22=0,"",(AD22)/(AE22))</f>
        <v/>
      </c>
      <c r="AH22" s="6"/>
      <c r="AI22" s="6"/>
      <c r="AJ22" s="7">
        <f t="shared" ref="AJ22:AJ27" si="44">(AH22)-(AI22)</f>
        <v>0</v>
      </c>
      <c r="AK22" s="8" t="str">
        <f t="shared" ref="AK22:AK27" si="45">IF(AI22=0,"",(AH22)/(AI22))</f>
        <v/>
      </c>
      <c r="AL22" s="6"/>
      <c r="AM22" s="6"/>
      <c r="AN22" s="7">
        <f t="shared" ref="AN22:AN27" si="46">(AL22)-(AM22)</f>
        <v>0</v>
      </c>
      <c r="AO22" s="8" t="str">
        <f t="shared" ref="AO22:AO27" si="47">IF(AM22=0,"",(AL22)/(AM22))</f>
        <v/>
      </c>
      <c r="AP22" s="6"/>
      <c r="AQ22" s="6"/>
      <c r="AR22" s="7">
        <f t="shared" ref="AR22:AR27" si="48">(AP22)-(AQ22)</f>
        <v>0</v>
      </c>
      <c r="AS22" s="8" t="str">
        <f t="shared" ref="AS22:AS27" si="49">IF(AQ22=0,"",(AP22)/(AQ22))</f>
        <v/>
      </c>
      <c r="AT22" s="6"/>
      <c r="AU22" s="6"/>
      <c r="AV22" s="7">
        <f t="shared" ref="AV22:AV27" si="50">(AT22)-(AU22)</f>
        <v>0</v>
      </c>
      <c r="AW22" s="8" t="str">
        <f t="shared" ref="AW22:AW27" si="51">IF(AU22=0,"",(AT22)/(AU22))</f>
        <v/>
      </c>
      <c r="AX22" s="7">
        <f t="shared" ref="AX22:AX27" si="52">(((((((((((B22)+(F22))+(J22))+(N22))+(R22))+(V22))+(Z22))+(AD22))+(AH22))+(AL22))+(AP22))+(AT22)</f>
        <v>50000</v>
      </c>
      <c r="AY22" s="7">
        <f t="shared" ref="AY22:AY27" si="53">(((((((((((C22)+(G22))+(K22))+(O22))+(S22))+(W22))+(AA22))+(AE22))+(AI22))+(AM22))+(AQ22))+(AU22)</f>
        <v>0</v>
      </c>
      <c r="AZ22" s="7">
        <f t="shared" ref="AZ22:AZ27" si="54">(AX22)-(AY22)</f>
        <v>50000</v>
      </c>
      <c r="BA22" s="8" t="str">
        <f t="shared" ref="BA22:BA27" si="55">IF(AY22=0,"",(AX22)/(AY22))</f>
        <v/>
      </c>
    </row>
    <row r="23" spans="1:53">
      <c r="A23" s="5" t="s">
        <v>36</v>
      </c>
      <c r="B23" s="7">
        <f>1000</f>
        <v>1000</v>
      </c>
      <c r="C23" s="6"/>
      <c r="D23" s="7">
        <f t="shared" si="28"/>
        <v>1000</v>
      </c>
      <c r="E23" s="8" t="str">
        <f t="shared" si="29"/>
        <v/>
      </c>
      <c r="F23" s="7">
        <f>1000</f>
        <v>1000</v>
      </c>
      <c r="G23" s="6"/>
      <c r="H23" s="7">
        <f t="shared" si="30"/>
        <v>1000</v>
      </c>
      <c r="I23" s="8" t="str">
        <f t="shared" si="31"/>
        <v/>
      </c>
      <c r="J23" s="7">
        <f>1000</f>
        <v>1000</v>
      </c>
      <c r="K23" s="6"/>
      <c r="L23" s="7">
        <f t="shared" si="32"/>
        <v>1000</v>
      </c>
      <c r="M23" s="8" t="str">
        <f t="shared" si="33"/>
        <v/>
      </c>
      <c r="N23" s="7">
        <f>1000</f>
        <v>1000</v>
      </c>
      <c r="O23" s="6"/>
      <c r="P23" s="7">
        <f t="shared" si="34"/>
        <v>1000</v>
      </c>
      <c r="Q23" s="8" t="str">
        <f t="shared" si="35"/>
        <v/>
      </c>
      <c r="R23" s="7">
        <f>1000</f>
        <v>1000</v>
      </c>
      <c r="S23" s="6"/>
      <c r="T23" s="7">
        <f t="shared" si="36"/>
        <v>1000</v>
      </c>
      <c r="U23" s="8" t="str">
        <f t="shared" si="37"/>
        <v/>
      </c>
      <c r="V23" s="7">
        <f>1000</f>
        <v>1000</v>
      </c>
      <c r="W23" s="6"/>
      <c r="X23" s="7">
        <f t="shared" si="38"/>
        <v>1000</v>
      </c>
      <c r="Y23" s="8" t="str">
        <f t="shared" si="39"/>
        <v/>
      </c>
      <c r="Z23" s="7">
        <f>1000</f>
        <v>1000</v>
      </c>
      <c r="AA23" s="6"/>
      <c r="AB23" s="7">
        <f t="shared" si="40"/>
        <v>1000</v>
      </c>
      <c r="AC23" s="8" t="str">
        <f t="shared" si="41"/>
        <v/>
      </c>
      <c r="AD23" s="7">
        <f>1000</f>
        <v>1000</v>
      </c>
      <c r="AE23" s="6"/>
      <c r="AF23" s="7">
        <f t="shared" si="42"/>
        <v>1000</v>
      </c>
      <c r="AG23" s="8" t="str">
        <f t="shared" si="43"/>
        <v/>
      </c>
      <c r="AH23" s="7">
        <f>1000</f>
        <v>1000</v>
      </c>
      <c r="AI23" s="6"/>
      <c r="AJ23" s="7">
        <f t="shared" si="44"/>
        <v>1000</v>
      </c>
      <c r="AK23" s="8" t="str">
        <f t="shared" si="45"/>
        <v/>
      </c>
      <c r="AL23" s="7">
        <f>1000</f>
        <v>1000</v>
      </c>
      <c r="AM23" s="6"/>
      <c r="AN23" s="7">
        <f t="shared" si="46"/>
        <v>1000</v>
      </c>
      <c r="AO23" s="8" t="str">
        <f t="shared" si="47"/>
        <v/>
      </c>
      <c r="AP23" s="7">
        <f>1000</f>
        <v>1000</v>
      </c>
      <c r="AQ23" s="6"/>
      <c r="AR23" s="7">
        <f t="shared" si="48"/>
        <v>1000</v>
      </c>
      <c r="AS23" s="8" t="str">
        <f t="shared" si="49"/>
        <v/>
      </c>
      <c r="AT23" s="7">
        <f>1000</f>
        <v>1000</v>
      </c>
      <c r="AU23" s="6"/>
      <c r="AV23" s="7">
        <f t="shared" si="50"/>
        <v>1000</v>
      </c>
      <c r="AW23" s="8" t="str">
        <f t="shared" si="51"/>
        <v/>
      </c>
      <c r="AX23" s="7">
        <f t="shared" si="52"/>
        <v>12000</v>
      </c>
      <c r="AY23" s="7">
        <f t="shared" si="53"/>
        <v>0</v>
      </c>
      <c r="AZ23" s="7">
        <f t="shared" si="54"/>
        <v>12000</v>
      </c>
      <c r="BA23" s="8" t="str">
        <f t="shared" si="55"/>
        <v/>
      </c>
    </row>
    <row r="24" spans="1:53">
      <c r="A24" s="5" t="s">
        <v>37</v>
      </c>
      <c r="B24" s="6"/>
      <c r="C24" s="6"/>
      <c r="D24" s="7">
        <f t="shared" si="28"/>
        <v>0</v>
      </c>
      <c r="E24" s="8" t="str">
        <f t="shared" si="29"/>
        <v/>
      </c>
      <c r="F24" s="7">
        <f>10000</f>
        <v>10000</v>
      </c>
      <c r="G24" s="6"/>
      <c r="H24" s="7">
        <f t="shared" si="30"/>
        <v>10000</v>
      </c>
      <c r="I24" s="8" t="str">
        <f t="shared" si="31"/>
        <v/>
      </c>
      <c r="J24" s="6"/>
      <c r="K24" s="6"/>
      <c r="L24" s="7">
        <f t="shared" si="32"/>
        <v>0</v>
      </c>
      <c r="M24" s="8" t="str">
        <f t="shared" si="33"/>
        <v/>
      </c>
      <c r="N24" s="6"/>
      <c r="O24" s="6"/>
      <c r="P24" s="7">
        <f t="shared" si="34"/>
        <v>0</v>
      </c>
      <c r="Q24" s="8" t="str">
        <f t="shared" si="35"/>
        <v/>
      </c>
      <c r="R24" s="6"/>
      <c r="S24" s="6"/>
      <c r="T24" s="7">
        <f t="shared" si="36"/>
        <v>0</v>
      </c>
      <c r="U24" s="8" t="str">
        <f t="shared" si="37"/>
        <v/>
      </c>
      <c r="V24" s="6"/>
      <c r="W24" s="6"/>
      <c r="X24" s="7">
        <f t="shared" si="38"/>
        <v>0</v>
      </c>
      <c r="Y24" s="8" t="str">
        <f t="shared" si="39"/>
        <v/>
      </c>
      <c r="Z24" s="6"/>
      <c r="AA24" s="6"/>
      <c r="AB24" s="7">
        <f t="shared" si="40"/>
        <v>0</v>
      </c>
      <c r="AC24" s="8" t="str">
        <f t="shared" si="41"/>
        <v/>
      </c>
      <c r="AD24" s="6"/>
      <c r="AE24" s="6"/>
      <c r="AF24" s="7">
        <f t="shared" si="42"/>
        <v>0</v>
      </c>
      <c r="AG24" s="8" t="str">
        <f t="shared" si="43"/>
        <v/>
      </c>
      <c r="AH24" s="6"/>
      <c r="AI24" s="6"/>
      <c r="AJ24" s="7">
        <f t="shared" si="44"/>
        <v>0</v>
      </c>
      <c r="AK24" s="8" t="str">
        <f t="shared" si="45"/>
        <v/>
      </c>
      <c r="AL24" s="6"/>
      <c r="AM24" s="6"/>
      <c r="AN24" s="7">
        <f t="shared" si="46"/>
        <v>0</v>
      </c>
      <c r="AO24" s="8" t="str">
        <f t="shared" si="47"/>
        <v/>
      </c>
      <c r="AP24" s="6"/>
      <c r="AQ24" s="6"/>
      <c r="AR24" s="7">
        <f t="shared" si="48"/>
        <v>0</v>
      </c>
      <c r="AS24" s="8" t="str">
        <f t="shared" si="49"/>
        <v/>
      </c>
      <c r="AT24" s="6"/>
      <c r="AU24" s="6"/>
      <c r="AV24" s="7">
        <f t="shared" si="50"/>
        <v>0</v>
      </c>
      <c r="AW24" s="8" t="str">
        <f t="shared" si="51"/>
        <v/>
      </c>
      <c r="AX24" s="7">
        <f t="shared" si="52"/>
        <v>10000</v>
      </c>
      <c r="AY24" s="7">
        <f t="shared" si="53"/>
        <v>0</v>
      </c>
      <c r="AZ24" s="7">
        <f t="shared" si="54"/>
        <v>10000</v>
      </c>
      <c r="BA24" s="8" t="str">
        <f t="shared" si="55"/>
        <v/>
      </c>
    </row>
    <row r="25" spans="1:53">
      <c r="A25" s="5" t="s">
        <v>38</v>
      </c>
      <c r="B25" s="9">
        <f>((B22)+(B23))+(B24)</f>
        <v>1000</v>
      </c>
      <c r="C25" s="9">
        <f>((C22)+(C23))+(C24)</f>
        <v>0</v>
      </c>
      <c r="D25" s="9">
        <f t="shared" si="28"/>
        <v>1000</v>
      </c>
      <c r="E25" s="10" t="str">
        <f t="shared" si="29"/>
        <v/>
      </c>
      <c r="F25" s="9">
        <f>((F22)+(F23))+(F24)</f>
        <v>61000</v>
      </c>
      <c r="G25" s="9">
        <f>((G22)+(G23))+(G24)</f>
        <v>0</v>
      </c>
      <c r="H25" s="9">
        <f t="shared" si="30"/>
        <v>61000</v>
      </c>
      <c r="I25" s="10" t="str">
        <f t="shared" si="31"/>
        <v/>
      </c>
      <c r="J25" s="9">
        <f>((J22)+(J23))+(J24)</f>
        <v>1000</v>
      </c>
      <c r="K25" s="9">
        <f>((K22)+(K23))+(K24)</f>
        <v>0</v>
      </c>
      <c r="L25" s="9">
        <f t="shared" si="32"/>
        <v>1000</v>
      </c>
      <c r="M25" s="10" t="str">
        <f t="shared" si="33"/>
        <v/>
      </c>
      <c r="N25" s="9">
        <f>((N22)+(N23))+(N24)</f>
        <v>1000</v>
      </c>
      <c r="O25" s="9">
        <f>((O22)+(O23))+(O24)</f>
        <v>0</v>
      </c>
      <c r="P25" s="9">
        <f t="shared" si="34"/>
        <v>1000</v>
      </c>
      <c r="Q25" s="10" t="str">
        <f t="shared" si="35"/>
        <v/>
      </c>
      <c r="R25" s="9">
        <f>((R22)+(R23))+(R24)</f>
        <v>1000</v>
      </c>
      <c r="S25" s="9">
        <f>((S22)+(S23))+(S24)</f>
        <v>0</v>
      </c>
      <c r="T25" s="9">
        <f t="shared" si="36"/>
        <v>1000</v>
      </c>
      <c r="U25" s="10" t="str">
        <f t="shared" si="37"/>
        <v/>
      </c>
      <c r="V25" s="9">
        <f>((V22)+(V23))+(V24)</f>
        <v>1000</v>
      </c>
      <c r="W25" s="9">
        <f>((W22)+(W23))+(W24)</f>
        <v>0</v>
      </c>
      <c r="X25" s="9">
        <f t="shared" si="38"/>
        <v>1000</v>
      </c>
      <c r="Y25" s="10" t="str">
        <f t="shared" si="39"/>
        <v/>
      </c>
      <c r="Z25" s="9">
        <f>((Z22)+(Z23))+(Z24)</f>
        <v>1000</v>
      </c>
      <c r="AA25" s="9">
        <f>((AA22)+(AA23))+(AA24)</f>
        <v>0</v>
      </c>
      <c r="AB25" s="9">
        <f t="shared" si="40"/>
        <v>1000</v>
      </c>
      <c r="AC25" s="10" t="str">
        <f t="shared" si="41"/>
        <v/>
      </c>
      <c r="AD25" s="9">
        <f>((AD22)+(AD23))+(AD24)</f>
        <v>1000</v>
      </c>
      <c r="AE25" s="9">
        <f>((AE22)+(AE23))+(AE24)</f>
        <v>0</v>
      </c>
      <c r="AF25" s="9">
        <f t="shared" si="42"/>
        <v>1000</v>
      </c>
      <c r="AG25" s="10" t="str">
        <f t="shared" si="43"/>
        <v/>
      </c>
      <c r="AH25" s="9">
        <f>((AH22)+(AH23))+(AH24)</f>
        <v>1000</v>
      </c>
      <c r="AI25" s="9">
        <f>((AI22)+(AI23))+(AI24)</f>
        <v>0</v>
      </c>
      <c r="AJ25" s="9">
        <f t="shared" si="44"/>
        <v>1000</v>
      </c>
      <c r="AK25" s="10" t="str">
        <f t="shared" si="45"/>
        <v/>
      </c>
      <c r="AL25" s="9">
        <f>((AL22)+(AL23))+(AL24)</f>
        <v>1000</v>
      </c>
      <c r="AM25" s="9">
        <f>((AM22)+(AM23))+(AM24)</f>
        <v>0</v>
      </c>
      <c r="AN25" s="9">
        <f t="shared" si="46"/>
        <v>1000</v>
      </c>
      <c r="AO25" s="10" t="str">
        <f t="shared" si="47"/>
        <v/>
      </c>
      <c r="AP25" s="9">
        <f>((AP22)+(AP23))+(AP24)</f>
        <v>1000</v>
      </c>
      <c r="AQ25" s="9">
        <f>((AQ22)+(AQ23))+(AQ24)</f>
        <v>0</v>
      </c>
      <c r="AR25" s="9">
        <f t="shared" si="48"/>
        <v>1000</v>
      </c>
      <c r="AS25" s="10" t="str">
        <f t="shared" si="49"/>
        <v/>
      </c>
      <c r="AT25" s="9">
        <f>((AT22)+(AT23))+(AT24)</f>
        <v>1000</v>
      </c>
      <c r="AU25" s="9">
        <f>((AU22)+(AU23))+(AU24)</f>
        <v>0</v>
      </c>
      <c r="AV25" s="9">
        <f t="shared" si="50"/>
        <v>1000</v>
      </c>
      <c r="AW25" s="10" t="str">
        <f t="shared" si="51"/>
        <v/>
      </c>
      <c r="AX25" s="9">
        <f t="shared" si="52"/>
        <v>72000</v>
      </c>
      <c r="AY25" s="9">
        <f t="shared" si="53"/>
        <v>0</v>
      </c>
      <c r="AZ25" s="9">
        <f t="shared" si="54"/>
        <v>72000</v>
      </c>
      <c r="BA25" s="10" t="str">
        <f t="shared" si="55"/>
        <v/>
      </c>
    </row>
    <row r="26" spans="1:53">
      <c r="A26" s="5" t="s">
        <v>39</v>
      </c>
      <c r="B26" s="9">
        <f>(B20)-(B25)</f>
        <v>-1000</v>
      </c>
      <c r="C26" s="9">
        <f>(C20)-(C25)</f>
        <v>6697.67</v>
      </c>
      <c r="D26" s="9">
        <f t="shared" si="28"/>
        <v>-7697.67</v>
      </c>
      <c r="E26" s="10">
        <f t="shared" si="29"/>
        <v>-0.149305654055813</v>
      </c>
      <c r="F26" s="9">
        <f>(F20)-(F25)</f>
        <v>414000</v>
      </c>
      <c r="G26" s="9">
        <f>(G20)-(G25)</f>
        <v>6697.67</v>
      </c>
      <c r="H26" s="9">
        <f t="shared" si="30"/>
        <v>407302.33</v>
      </c>
      <c r="I26" s="10">
        <f t="shared" si="31"/>
        <v>61.8125407791068</v>
      </c>
      <c r="J26" s="9">
        <f>(J20)-(J25)</f>
        <v>-1000</v>
      </c>
      <c r="K26" s="9">
        <f>(K20)-(K25)</f>
        <v>6697.67</v>
      </c>
      <c r="L26" s="9">
        <f t="shared" si="32"/>
        <v>-7697.67</v>
      </c>
      <c r="M26" s="10">
        <f t="shared" si="33"/>
        <v>-0.149305654055813</v>
      </c>
      <c r="N26" s="9">
        <f>(N20)-(N25)</f>
        <v>-1000</v>
      </c>
      <c r="O26" s="9">
        <f>(O20)-(O25)</f>
        <v>6697.67</v>
      </c>
      <c r="P26" s="9">
        <f t="shared" si="34"/>
        <v>-7697.67</v>
      </c>
      <c r="Q26" s="10">
        <f t="shared" si="35"/>
        <v>-0.149305654055813</v>
      </c>
      <c r="R26" s="9">
        <f>(R20)-(R25)</f>
        <v>-1000</v>
      </c>
      <c r="S26" s="9">
        <f>(S20)-(S25)</f>
        <v>6697.67</v>
      </c>
      <c r="T26" s="9">
        <f t="shared" si="36"/>
        <v>-7697.67</v>
      </c>
      <c r="U26" s="10">
        <f t="shared" si="37"/>
        <v>-0.149305654055813</v>
      </c>
      <c r="V26" s="9">
        <f>(V20)-(V25)</f>
        <v>-1000</v>
      </c>
      <c r="W26" s="9">
        <f>(W20)-(W25)</f>
        <v>6697.67</v>
      </c>
      <c r="X26" s="9">
        <f t="shared" si="38"/>
        <v>-7697.67</v>
      </c>
      <c r="Y26" s="10">
        <f t="shared" si="39"/>
        <v>-0.149305654055813</v>
      </c>
      <c r="Z26" s="9">
        <f>(Z20)-(Z25)</f>
        <v>-1000</v>
      </c>
      <c r="AA26" s="9">
        <f>(AA20)-(AA25)</f>
        <v>6697.67</v>
      </c>
      <c r="AB26" s="9">
        <f t="shared" si="40"/>
        <v>-7697.67</v>
      </c>
      <c r="AC26" s="10">
        <f t="shared" si="41"/>
        <v>-0.149305654055813</v>
      </c>
      <c r="AD26" s="9">
        <f>(AD20)-(AD25)</f>
        <v>-1000</v>
      </c>
      <c r="AE26" s="9">
        <f>(AE20)-(AE25)</f>
        <v>6697.67</v>
      </c>
      <c r="AF26" s="9">
        <f t="shared" si="42"/>
        <v>-7697.67</v>
      </c>
      <c r="AG26" s="10">
        <f t="shared" si="43"/>
        <v>-0.149305654055813</v>
      </c>
      <c r="AH26" s="9">
        <f>(AH20)-(AH25)</f>
        <v>-1000</v>
      </c>
      <c r="AI26" s="9">
        <f>(AI20)-(AI25)</f>
        <v>6697.67</v>
      </c>
      <c r="AJ26" s="9">
        <f t="shared" si="44"/>
        <v>-7697.67</v>
      </c>
      <c r="AK26" s="10">
        <f t="shared" si="45"/>
        <v>-0.149305654055813</v>
      </c>
      <c r="AL26" s="9">
        <f>(AL20)-(AL25)</f>
        <v>-1000</v>
      </c>
      <c r="AM26" s="9">
        <f>(AM20)-(AM25)</f>
        <v>6697.67</v>
      </c>
      <c r="AN26" s="9">
        <f t="shared" si="46"/>
        <v>-7697.67</v>
      </c>
      <c r="AO26" s="10">
        <f t="shared" si="47"/>
        <v>-0.149305654055813</v>
      </c>
      <c r="AP26" s="9">
        <f>(AP20)-(AP25)</f>
        <v>-1000</v>
      </c>
      <c r="AQ26" s="9">
        <f>(AQ20)-(AQ25)</f>
        <v>6697.67</v>
      </c>
      <c r="AR26" s="9">
        <f t="shared" si="48"/>
        <v>-7697.67</v>
      </c>
      <c r="AS26" s="10">
        <f t="shared" si="49"/>
        <v>-0.149305654055813</v>
      </c>
      <c r="AT26" s="9">
        <f>(AT20)-(AT25)</f>
        <v>-1000</v>
      </c>
      <c r="AU26" s="9">
        <f>(AU20)-(AU25)</f>
        <v>6697.63</v>
      </c>
      <c r="AV26" s="9">
        <f t="shared" si="50"/>
        <v>-7697.63</v>
      </c>
      <c r="AW26" s="10">
        <f t="shared" si="51"/>
        <v>-0.149306545748272</v>
      </c>
      <c r="AX26" s="9">
        <f t="shared" si="52"/>
        <v>403000</v>
      </c>
      <c r="AY26" s="9">
        <f t="shared" si="53"/>
        <v>80372</v>
      </c>
      <c r="AZ26" s="9">
        <f t="shared" si="54"/>
        <v>322628</v>
      </c>
      <c r="BA26" s="10">
        <f t="shared" si="55"/>
        <v>5.0141840441945</v>
      </c>
    </row>
    <row r="27" spans="1:53">
      <c r="A27" s="5" t="s">
        <v>40</v>
      </c>
      <c r="B27" s="11">
        <f>(B26)+(0)</f>
        <v>-1000</v>
      </c>
      <c r="C27" s="11">
        <f>(C26)+(0)</f>
        <v>6697.67</v>
      </c>
      <c r="D27" s="11">
        <f t="shared" si="28"/>
        <v>-7697.67</v>
      </c>
      <c r="E27" s="12">
        <f t="shared" si="29"/>
        <v>-0.149305654055813</v>
      </c>
      <c r="F27" s="11">
        <f>(F26)+(0)</f>
        <v>414000</v>
      </c>
      <c r="G27" s="11">
        <f>(G26)+(0)</f>
        <v>6697.67</v>
      </c>
      <c r="H27" s="11">
        <f t="shared" si="30"/>
        <v>407302.33</v>
      </c>
      <c r="I27" s="12">
        <f t="shared" si="31"/>
        <v>61.8125407791068</v>
      </c>
      <c r="J27" s="11">
        <f>(J26)+(0)</f>
        <v>-1000</v>
      </c>
      <c r="K27" s="11">
        <f>(K26)+(0)</f>
        <v>6697.67</v>
      </c>
      <c r="L27" s="11">
        <f t="shared" si="32"/>
        <v>-7697.67</v>
      </c>
      <c r="M27" s="12">
        <f t="shared" si="33"/>
        <v>-0.149305654055813</v>
      </c>
      <c r="N27" s="11">
        <f>(N26)+(0)</f>
        <v>-1000</v>
      </c>
      <c r="O27" s="11">
        <f>(O26)+(0)</f>
        <v>6697.67</v>
      </c>
      <c r="P27" s="11">
        <f t="shared" si="34"/>
        <v>-7697.67</v>
      </c>
      <c r="Q27" s="12">
        <f t="shared" si="35"/>
        <v>-0.149305654055813</v>
      </c>
      <c r="R27" s="11">
        <f>(R26)+(0)</f>
        <v>-1000</v>
      </c>
      <c r="S27" s="11">
        <f>(S26)+(0)</f>
        <v>6697.67</v>
      </c>
      <c r="T27" s="11">
        <f t="shared" si="36"/>
        <v>-7697.67</v>
      </c>
      <c r="U27" s="12">
        <f t="shared" si="37"/>
        <v>-0.149305654055813</v>
      </c>
      <c r="V27" s="11">
        <f>(V26)+(0)</f>
        <v>-1000</v>
      </c>
      <c r="W27" s="11">
        <f>(W26)+(0)</f>
        <v>6697.67</v>
      </c>
      <c r="X27" s="11">
        <f t="shared" si="38"/>
        <v>-7697.67</v>
      </c>
      <c r="Y27" s="12">
        <f t="shared" si="39"/>
        <v>-0.149305654055813</v>
      </c>
      <c r="Z27" s="11">
        <f>(Z26)+(0)</f>
        <v>-1000</v>
      </c>
      <c r="AA27" s="11">
        <f>(AA26)+(0)</f>
        <v>6697.67</v>
      </c>
      <c r="AB27" s="11">
        <f t="shared" si="40"/>
        <v>-7697.67</v>
      </c>
      <c r="AC27" s="12">
        <f t="shared" si="41"/>
        <v>-0.149305654055813</v>
      </c>
      <c r="AD27" s="11">
        <f>(AD26)+(0)</f>
        <v>-1000</v>
      </c>
      <c r="AE27" s="11">
        <f>(AE26)+(0)</f>
        <v>6697.67</v>
      </c>
      <c r="AF27" s="11">
        <f t="shared" si="42"/>
        <v>-7697.67</v>
      </c>
      <c r="AG27" s="12">
        <f t="shared" si="43"/>
        <v>-0.149305654055813</v>
      </c>
      <c r="AH27" s="11">
        <f>(AH26)+(0)</f>
        <v>-1000</v>
      </c>
      <c r="AI27" s="11">
        <f>(AI26)+(0)</f>
        <v>6697.67</v>
      </c>
      <c r="AJ27" s="11">
        <f t="shared" si="44"/>
        <v>-7697.67</v>
      </c>
      <c r="AK27" s="12">
        <f t="shared" si="45"/>
        <v>-0.149305654055813</v>
      </c>
      <c r="AL27" s="11">
        <f>(AL26)+(0)</f>
        <v>-1000</v>
      </c>
      <c r="AM27" s="11">
        <f>(AM26)+(0)</f>
        <v>6697.67</v>
      </c>
      <c r="AN27" s="11">
        <f t="shared" si="46"/>
        <v>-7697.67</v>
      </c>
      <c r="AO27" s="12">
        <f t="shared" si="47"/>
        <v>-0.149305654055813</v>
      </c>
      <c r="AP27" s="11">
        <f>(AP26)+(0)</f>
        <v>-1000</v>
      </c>
      <c r="AQ27" s="11">
        <f>(AQ26)+(0)</f>
        <v>6697.67</v>
      </c>
      <c r="AR27" s="11">
        <f t="shared" si="48"/>
        <v>-7697.67</v>
      </c>
      <c r="AS27" s="12">
        <f t="shared" si="49"/>
        <v>-0.149305654055813</v>
      </c>
      <c r="AT27" s="11">
        <f>(AT26)+(0)</f>
        <v>-1000</v>
      </c>
      <c r="AU27" s="11">
        <f>(AU26)+(0)</f>
        <v>6697.63</v>
      </c>
      <c r="AV27" s="11">
        <f t="shared" si="50"/>
        <v>-7697.63</v>
      </c>
      <c r="AW27" s="12">
        <f t="shared" si="51"/>
        <v>-0.149306545748272</v>
      </c>
      <c r="AX27" s="11">
        <f t="shared" si="52"/>
        <v>403000</v>
      </c>
      <c r="AY27" s="11">
        <f t="shared" si="53"/>
        <v>80372</v>
      </c>
      <c r="AZ27" s="11">
        <f t="shared" si="54"/>
        <v>322628</v>
      </c>
      <c r="BA27" s="12">
        <f t="shared" si="55"/>
        <v>5.0141840441945</v>
      </c>
    </row>
    <row r="28" spans="1:53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31" spans="1:1">
      <c r="A31" s="13" t="s">
        <v>41</v>
      </c>
    </row>
  </sheetData>
  <mergeCells count="17">
    <mergeCell ref="A1:BA1"/>
    <mergeCell ref="A2:BA2"/>
    <mergeCell ref="A3:BA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31:BA3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Budget vs. Actuals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2025-03-06T18:23:00Z</dcterms:created>
  <dcterms:modified xsi:type="dcterms:W3CDTF">2025-03-06T21:54:39Z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0A9423D93D8C4733B2156D5441A09F87_12</vt:lpwstr>
  </property>
  <property fmtid="{D5CDD505-2E9C-101B-9397-08002B2CF9AE}" pid="3" name="KSOProductBuildVer">
    <vt:lpwstr>2057-12.2.0.19821</vt:lpwstr>
  </property>
</Properties>
</file>